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a0-my.sharepoint.com/personal/c27jakob_brunsell_afacademy_af_edu/Documents/Desktop/Howard Boats/"/>
    </mc:Choice>
  </mc:AlternateContent>
  <xr:revisionPtr revIDLastSave="29" documentId="8_{284EA2F8-9C0F-844D-B5D0-F24FFDE98E32}" xr6:coauthVersionLast="47" xr6:coauthVersionMax="47" xr10:uidLastSave="{47774043-6E8C-4CD6-BFA7-FEA1FDFE072D}"/>
  <bookViews>
    <workbookView minimized="1" xWindow="6120" yWindow="1240" windowWidth="8900" windowHeight="5160" xr2:uid="{00003F28-1E08-433E-A72A-9668C7B9393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70" i="1"/>
  <c r="E71" i="1"/>
  <c r="E9" i="1"/>
  <c r="E10" i="1"/>
  <c r="E72" i="1"/>
  <c r="E73" i="1"/>
  <c r="E69" i="1"/>
  <c r="E13" i="1" l="1"/>
  <c r="E12" i="1"/>
  <c r="E11" i="1"/>
  <c r="E8" i="1"/>
  <c r="E26" i="1"/>
  <c r="E33" i="1"/>
  <c r="E53" i="1"/>
  <c r="E52" i="1"/>
  <c r="E48" i="1"/>
  <c r="E47" i="1"/>
  <c r="E46" i="1"/>
  <c r="E45" i="1"/>
  <c r="E38" i="1"/>
  <c r="E37" i="1"/>
  <c r="E36" i="1"/>
  <c r="E35" i="1"/>
  <c r="E34" i="1"/>
  <c r="E30" i="1"/>
  <c r="E25" i="1"/>
  <c r="E23" i="1"/>
  <c r="E74" i="1"/>
  <c r="E66" i="1"/>
  <c r="E65" i="1"/>
  <c r="E64" i="1"/>
  <c r="E61" i="1"/>
  <c r="E59" i="1"/>
  <c r="E58" i="1"/>
  <c r="E57" i="1"/>
  <c r="E51" i="1"/>
  <c r="E50" i="1"/>
  <c r="E49" i="1"/>
  <c r="E22" i="1"/>
  <c r="E21" i="1"/>
  <c r="E20" i="1"/>
  <c r="E17" i="1"/>
  <c r="E16" i="1"/>
  <c r="E15" i="1"/>
  <c r="E75" i="1" l="1"/>
</calcChain>
</file>

<file path=xl/sharedStrings.xml><?xml version="1.0" encoding="utf-8"?>
<sst xmlns="http://schemas.openxmlformats.org/spreadsheetml/2006/main" count="113" uniqueCount="88">
  <si>
    <t>DESCRIPTION</t>
  </si>
  <si>
    <t>Retail Price</t>
  </si>
  <si>
    <t>QTY</t>
  </si>
  <si>
    <t>Customer Price</t>
  </si>
  <si>
    <t>incl</t>
  </si>
  <si>
    <t>Motor Options</t>
  </si>
  <si>
    <t xml:space="preserve">  </t>
  </si>
  <si>
    <t>Mercury Racing 520HP w/Bravo XR</t>
  </si>
  <si>
    <t>Mercury Racing 565 w/Bravo XR</t>
  </si>
  <si>
    <t>motor color</t>
  </si>
  <si>
    <t>Options</t>
  </si>
  <si>
    <t>Hidden Bimini top (one color) w/mesh center</t>
  </si>
  <si>
    <t>Additional colored stripes on Bimim top (each)</t>
  </si>
  <si>
    <t>Custom sunbrella tow cover</t>
  </si>
  <si>
    <t xml:space="preserve">Custom tow cover w/fleece inner lining </t>
  </si>
  <si>
    <t xml:space="preserve">Custom nylon storage cover </t>
  </si>
  <si>
    <t>Auto fire extinguisher</t>
  </si>
  <si>
    <t>Retractable swim ladder</t>
  </si>
  <si>
    <t>In dash depth finder</t>
  </si>
  <si>
    <t>Billlet removable ski pylon</t>
  </si>
  <si>
    <t>Night boarding lights on swim platform</t>
  </si>
  <si>
    <t>Underwater lights each</t>
  </si>
  <si>
    <t>Upgrade to Lumitec under water lights each</t>
  </si>
  <si>
    <t xml:space="preserve">Sea Strainer </t>
  </si>
  <si>
    <t>4 Slot bumper holer in motor compartment</t>
  </si>
  <si>
    <t>std</t>
  </si>
  <si>
    <t>inc</t>
  </si>
  <si>
    <t>12 volt recepticle each</t>
  </si>
  <si>
    <t>Thru transom exhaust w/SS tips</t>
  </si>
  <si>
    <t>Gibson mufflers</t>
  </si>
  <si>
    <t>5 Blade Maximus Lab Prop</t>
  </si>
  <si>
    <t>Lab finished prop (additional over stock prop)</t>
  </si>
  <si>
    <t>Imco full hydraulic steering w/Billet SS tilt helm</t>
  </si>
  <si>
    <t>Interior rope lighting package in side panels</t>
  </si>
  <si>
    <t>JL Audio Stereo "MX" Series, 2 amps, 8 6.5" spkrs, 2 subs, 3 remotes</t>
  </si>
  <si>
    <t>Premium JL Audio system upgrade to "M" series</t>
  </si>
  <si>
    <t>Battery tender (installed)</t>
  </si>
  <si>
    <t xml:space="preserve">washdown shower </t>
  </si>
  <si>
    <t>Acrylic wrap around windshield</t>
  </si>
  <si>
    <t>TCM SS Drive shower</t>
  </si>
  <si>
    <t>Eddie Marine Pin Cleats for fenders (each)</t>
  </si>
  <si>
    <t>Eddie Marine Billet Trim Tabs</t>
  </si>
  <si>
    <t>livorsi or k-plane trim tabs</t>
  </si>
  <si>
    <t>livorsi digital tab indicator</t>
  </si>
  <si>
    <t>Dual batteries w/switch and ACR</t>
  </si>
  <si>
    <t xml:space="preserve">Third battery w/billet tray </t>
  </si>
  <si>
    <t>Extreme Custom gel coat designs</t>
  </si>
  <si>
    <t>price on request</t>
  </si>
  <si>
    <t xml:space="preserve">Trailer Options </t>
  </si>
  <si>
    <t>Split Drive Guard</t>
  </si>
  <si>
    <t>L.E.D. lights Recessed in Frame</t>
  </si>
  <si>
    <t>Retractable auto tie downs</t>
  </si>
  <si>
    <t>Price on request</t>
  </si>
  <si>
    <t>Electric/hydraulic brakes</t>
  </si>
  <si>
    <t>Dual handle trailer ladder w/lower step</t>
  </si>
  <si>
    <t>Interior graphic package/side panels, seat backs</t>
  </si>
  <si>
    <t>Prices subject to change without notice.</t>
  </si>
  <si>
    <t>A $10,000.00 deposit (fully refundable for any reason) will guarantee a build slot and approximate delivery date.</t>
  </si>
  <si>
    <t xml:space="preserve">Note: Above pricing may not be applicable to the actual price due to the volitilty </t>
  </si>
  <si>
    <t>in today's constsantly</t>
  </si>
  <si>
    <t>changing pricing within the marine industry and the cost of rising prices and shortages. Final price</t>
  </si>
  <si>
    <t>will be determined prior to the start of construction.</t>
  </si>
  <si>
    <t xml:space="preserve">Terms: One third payment with order placement or when construction starts, one third when out of </t>
  </si>
  <si>
    <t xml:space="preserve">the mold, color sanded and buffed and ready for rigging, and the final third upon completion prior </t>
  </si>
  <si>
    <t>to delivery. All final payments are to made via wire transfer only.</t>
  </si>
  <si>
    <t>Howard Custom Boats, Inc</t>
  </si>
  <si>
    <t>Mailing Address:</t>
  </si>
  <si>
    <t>25544 Ave Stanford, Valencia, CA 91355</t>
  </si>
  <si>
    <t>Applicable sales tax and registration fees not included in above pricing.</t>
  </si>
  <si>
    <t>Teague 825 EFI w/ IMCO SCX/SC / Sea Strainer</t>
  </si>
  <si>
    <t>Teage 1050 EFI w IMCO SCX/SC / Sea Strainer</t>
  </si>
  <si>
    <t>Interior Options</t>
  </si>
  <si>
    <t>Blackout Option</t>
  </si>
  <si>
    <t>Runway Lights</t>
  </si>
  <si>
    <t>Mercury Racing 600 Sci w/Bravo XR / Sea Strainer</t>
  </si>
  <si>
    <t>Triple axle upgrade</t>
  </si>
  <si>
    <t>Mercury Vessel View 903 w/color gps/depth finder</t>
  </si>
  <si>
    <t>12"x96" Fender</t>
  </si>
  <si>
    <t>Large Side Steps with 15" LED Lights</t>
  </si>
  <si>
    <t>Low Profile package w/custom wheels/tires est only</t>
  </si>
  <si>
    <t>Livorsi additional gauges (each)</t>
  </si>
  <si>
    <t>Bentley Style Diamond stich interior upgrade</t>
  </si>
  <si>
    <t>Custom Snap-in Carpet kit w/Howard Logo</t>
  </si>
  <si>
    <t>Ferarri Stitching</t>
  </si>
  <si>
    <t>Starting July 1, 2025</t>
  </si>
  <si>
    <t>ultra suede upgrade</t>
  </si>
  <si>
    <t>2025 28 SCS/SDS 8.2 430hp w/Bravo 1 Drive</t>
  </si>
  <si>
    <t>Mercury ITS Steering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</si>
</sst>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6"/>
      <color theme="0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4" fontId="0" fillId="0" borderId="2" xfId="0" applyNumberFormat="1" applyBorder="1"/>
    <xf numFmtId="1" fontId="0" fillId="0" borderId="2" xfId="0" applyNumberFormat="1" applyBorder="1"/>
    <xf numFmtId="4" fontId="0" fillId="0" borderId="1" xfId="0" applyNumberFormat="1" applyBorder="1"/>
    <xf numFmtId="0" fontId="4" fillId="0" borderId="3" xfId="0" applyFont="1" applyBorder="1"/>
    <xf numFmtId="164" fontId="0" fillId="0" borderId="3" xfId="0" applyNumberFormat="1" applyBorder="1"/>
    <xf numFmtId="1" fontId="0" fillId="0" borderId="3" xfId="0" applyNumberFormat="1" applyBorder="1"/>
    <xf numFmtId="4" fontId="0" fillId="0" borderId="3" xfId="0" applyNumberFormat="1" applyBorder="1"/>
    <xf numFmtId="164" fontId="0" fillId="0" borderId="4" xfId="0" applyNumberFormat="1" applyBorder="1"/>
    <xf numFmtId="1" fontId="0" fillId="0" borderId="0" xfId="0" applyNumberFormat="1"/>
    <xf numFmtId="4" fontId="0" fillId="0" borderId="0" xfId="0" applyNumberFormat="1"/>
    <xf numFmtId="1" fontId="0" fillId="0" borderId="4" xfId="0" applyNumberFormat="1" applyBorder="1"/>
    <xf numFmtId="0" fontId="1" fillId="0" borderId="0" xfId="0" applyFont="1" applyAlignment="1">
      <alignment horizontal="center" vertical="center"/>
    </xf>
    <xf numFmtId="0" fontId="5" fillId="0" borderId="3" xfId="0" applyFont="1" applyBorder="1"/>
    <xf numFmtId="4" fontId="5" fillId="0" borderId="3" xfId="0" applyNumberFormat="1" applyFont="1" applyBorder="1"/>
    <xf numFmtId="0" fontId="0" fillId="0" borderId="3" xfId="0" applyBorder="1"/>
    <xf numFmtId="164" fontId="5" fillId="0" borderId="4" xfId="0" applyNumberFormat="1" applyFont="1" applyBorder="1"/>
    <xf numFmtId="17" fontId="0" fillId="0" borderId="0" xfId="0" applyNumberFormat="1"/>
    <xf numFmtId="164" fontId="0" fillId="0" borderId="0" xfId="0" applyNumberFormat="1"/>
    <xf numFmtId="0" fontId="0" fillId="0" borderId="5" xfId="0" applyBorder="1"/>
    <xf numFmtId="15" fontId="0" fillId="0" borderId="0" xfId="0" applyNumberFormat="1"/>
    <xf numFmtId="0" fontId="4" fillId="0" borderId="1" xfId="0" applyFont="1" applyBorder="1"/>
    <xf numFmtId="0" fontId="6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A$8" lockText="1" noThreeD="1"/>
</file>

<file path=xl/ctrlProps/ctrlProp2.xml><?xml version="1.0" encoding="utf-8"?>
<formControlPr xmlns="http://schemas.microsoft.com/office/spreadsheetml/2009/9/main" objectType="CheckBox" checked="Checked" fmlaLink="$A$10" lockText="1" noThreeD="1"/>
</file>

<file path=xl/ctrlProps/ctrlProp3.xml><?xml version="1.0" encoding="utf-8"?>
<formControlPr xmlns="http://schemas.microsoft.com/office/spreadsheetml/2009/9/main" objectType="CheckBox" fmlaLink="$A$9" lockText="1" noThreeD="1"/>
</file>

<file path=xl/ctrlProps/ctrlProp4.xml><?xml version="1.0" encoding="utf-8"?>
<formControlPr xmlns="http://schemas.microsoft.com/office/spreadsheetml/2009/9/main" objectType="CheckBox" fmlaLink="$A$9" lockText="1" noThreeD="1"/>
</file>

<file path=xl/ctrlProps/ctrlProp5.xml><?xml version="1.0" encoding="utf-8"?>
<formControlPr xmlns="http://schemas.microsoft.com/office/spreadsheetml/2009/9/main" objectType="CheckBox" checked="Checked" fmlaLink="$A$10" lockText="1" noThreeD="1"/>
</file>

<file path=xl/ctrlProps/ctrlProp6.xml><?xml version="1.0" encoding="utf-8"?>
<formControlPr xmlns="http://schemas.microsoft.com/office/spreadsheetml/2009/9/main" objectType="CheckBox" checked="Checked" fmlaLink="$A$10" lockText="1" noThreeD="1"/>
</file>

<file path=xl/ctrlProps/ctrlProp7.xml><?xml version="1.0" encoding="utf-8"?>
<formControlPr xmlns="http://schemas.microsoft.com/office/spreadsheetml/2009/9/main" objectType="CheckBox" fmlaLink="$A$11" lockText="1" noThreeD="1"/>
</file>

<file path=xl/ctrlProps/ctrlProp8.xml><?xml version="1.0" encoding="utf-8"?>
<formControlPr xmlns="http://schemas.microsoft.com/office/spreadsheetml/2009/9/main" objectType="CheckBox" fmlaLink="$A$11" lockText="1" noThreeD="1"/>
</file>

<file path=xl/ctrlProps/ctrlProp9.xml><?xml version="1.0" encoding="utf-8"?>
<formControlPr xmlns="http://schemas.microsoft.com/office/spreadsheetml/2009/9/main" objectType="CheckBox" checked="Checked" fmlaLink="$A$17" lockText="1" noThreeD="1"/>
</file>

<file path=xl/ctrlProps/ctrlProp10.xml><?xml version="1.0" encoding="utf-8"?>
<formControlPr xmlns="http://schemas.microsoft.com/office/spreadsheetml/2009/9/main" objectType="CheckBox" checked="Checked" fmlaLink="$A$17" lockText="1" noThreeD="1"/>
</file>

<file path=xl/ctrlProps/ctrlProp11.xml><?xml version="1.0" encoding="utf-8"?>
<formControlPr xmlns="http://schemas.microsoft.com/office/spreadsheetml/2009/9/main" objectType="CheckBox" checked="Checked" fmlaLink="$A$18" lockText="1" noThreeD="1"/>
</file>

<file path=xl/ctrlProps/ctrlProp12.xml><?xml version="1.0" encoding="utf-8"?>
<formControlPr xmlns="http://schemas.microsoft.com/office/spreadsheetml/2009/9/main" objectType="CheckBox" checked="Checked" fmlaLink="$A$18" lockText="1" noThreeD="1"/>
</file>

<file path=xl/ctrlProps/ctrlProp13.xml><?xml version="1.0" encoding="utf-8"?>
<formControlPr xmlns="http://schemas.microsoft.com/office/spreadsheetml/2009/9/main" objectType="CheckBox" checked="Checked" fmlaLink="$A$19" lockText="1" noThreeD="1"/>
</file>

<file path=xl/ctrlProps/ctrlProp14.xml><?xml version="1.0" encoding="utf-8"?>
<formControlPr xmlns="http://schemas.microsoft.com/office/spreadsheetml/2009/9/main" objectType="CheckBox" checked="Checked" fmlaLink="$A$19" lockText="1" noThreeD="1"/>
</file>

<file path=xl/ctrlProps/ctrlProp15.xml><?xml version="1.0" encoding="utf-8"?>
<formControlPr xmlns="http://schemas.microsoft.com/office/spreadsheetml/2009/9/main" objectType="CheckBox" fmlaLink="$A$20" lockText="1" noThreeD="1"/>
</file>

<file path=xl/ctrlProps/ctrlProp16.xml><?xml version="1.0" encoding="utf-8"?>
<formControlPr xmlns="http://schemas.microsoft.com/office/spreadsheetml/2009/9/main" objectType="CheckBox" fmlaLink="$A$20" lockText="1" noThreeD="1"/>
</file>

<file path=xl/ctrlProps/ctrlProp17.xml><?xml version="1.0" encoding="utf-8"?>
<formControlPr xmlns="http://schemas.microsoft.com/office/spreadsheetml/2009/9/main" objectType="CheckBox" fmlaLink="$A$21" lockText="1" noThreeD="1"/>
</file>

<file path=xl/ctrlProps/ctrlProp18.xml><?xml version="1.0" encoding="utf-8"?>
<formControlPr xmlns="http://schemas.microsoft.com/office/spreadsheetml/2009/9/main" objectType="CheckBox" fmlaLink="$A$21" lockText="1" noThreeD="1"/>
</file>

<file path=xl/ctrlProps/ctrlProp19.xml><?xml version="1.0" encoding="utf-8"?>
<formControlPr xmlns="http://schemas.microsoft.com/office/spreadsheetml/2009/9/main" objectType="CheckBox" fmlaLink="$A$22" lockText="1" noThreeD="1"/>
</file>

<file path=xl/ctrlProps/ctrlProp20.xml><?xml version="1.0" encoding="utf-8"?>
<formControlPr xmlns="http://schemas.microsoft.com/office/spreadsheetml/2009/9/main" objectType="CheckBox" fmlaLink="$A$22" lockText="1" noThreeD="1"/>
</file>

<file path=xl/ctrlProps/ctrlProp21.xml><?xml version="1.0" encoding="utf-8"?>
<formControlPr xmlns="http://schemas.microsoft.com/office/spreadsheetml/2009/9/main" objectType="CheckBox" checked="Checked" fmlaLink="$A$23" lockText="1" noThreeD="1"/>
</file>

<file path=xl/ctrlProps/ctrlProp22.xml><?xml version="1.0" encoding="utf-8"?>
<formControlPr xmlns="http://schemas.microsoft.com/office/spreadsheetml/2009/9/main" objectType="CheckBox" checked="Checked" fmlaLink="$A$23" lockText="1" noThreeD="1"/>
</file>

<file path=xl/ctrlProps/ctrlProp23.xml><?xml version="1.0" encoding="utf-8"?>
<formControlPr xmlns="http://schemas.microsoft.com/office/spreadsheetml/2009/9/main" objectType="CheckBox" checked="Checked" fmlaLink="$A$24" lockText="1" noThreeD="1"/>
</file>

<file path=xl/ctrlProps/ctrlProp24.xml><?xml version="1.0" encoding="utf-8"?>
<formControlPr xmlns="http://schemas.microsoft.com/office/spreadsheetml/2009/9/main" objectType="CheckBox" checked="Checked" fmlaLink="$A$24" lockText="1" noThreeD="1"/>
</file>

<file path=xl/ctrlProps/ctrlProp25.xml><?xml version="1.0" encoding="utf-8"?>
<formControlPr xmlns="http://schemas.microsoft.com/office/spreadsheetml/2009/9/main" objectType="CheckBox" fmlaLink="$A$25" lockText="1" noThreeD="1"/>
</file>

<file path=xl/ctrlProps/ctrlProp26.xml><?xml version="1.0" encoding="utf-8"?>
<formControlPr xmlns="http://schemas.microsoft.com/office/spreadsheetml/2009/9/main" objectType="CheckBox" fmlaLink="$A$25" lockText="1" noThreeD="1"/>
</file>

<file path=xl/ctrlProps/ctrlProp27.xml><?xml version="1.0" encoding="utf-8"?>
<formControlPr xmlns="http://schemas.microsoft.com/office/spreadsheetml/2009/9/main" objectType="CheckBox" checked="Checked" fmlaLink="$A$26" lockText="1" noThreeD="1"/>
</file>

<file path=xl/ctrlProps/ctrlProp28.xml><?xml version="1.0" encoding="utf-8"?>
<formControlPr xmlns="http://schemas.microsoft.com/office/spreadsheetml/2009/9/main" objectType="CheckBox" checked="Checked" fmlaLink="$A$26" lockText="1" noThreeD="1"/>
</file>

<file path=xl/ctrlProps/ctrlProp29.xml><?xml version="1.0" encoding="utf-8"?>
<formControlPr xmlns="http://schemas.microsoft.com/office/spreadsheetml/2009/9/main" objectType="CheckBox" checked="Checked" fmlaLink="$A$27" lockText="1" noThreeD="1"/>
</file>

<file path=xl/ctrlProps/ctrlProp30.xml><?xml version="1.0" encoding="utf-8"?>
<formControlPr xmlns="http://schemas.microsoft.com/office/spreadsheetml/2009/9/main" objectType="CheckBox" checked="Checked" fmlaLink="$A$27" lockText="1" noThreeD="1"/>
</file>

<file path=xl/ctrlProps/ctrlProp31.xml><?xml version="1.0" encoding="utf-8"?>
<formControlPr xmlns="http://schemas.microsoft.com/office/spreadsheetml/2009/9/main" objectType="CheckBox" checked="Checked" fmlaLink="$A$28" lockText="1" noThreeD="1"/>
</file>

<file path=xl/ctrlProps/ctrlProp32.xml><?xml version="1.0" encoding="utf-8"?>
<formControlPr xmlns="http://schemas.microsoft.com/office/spreadsheetml/2009/9/main" objectType="CheckBox" checked="Checked" fmlaLink="$A$28" lockText="1" noThreeD="1"/>
</file>

<file path=xl/ctrlProps/ctrlProp33.xml><?xml version="1.0" encoding="utf-8"?>
<formControlPr xmlns="http://schemas.microsoft.com/office/spreadsheetml/2009/9/main" objectType="CheckBox" checked="Checked" fmlaLink="$A$29" lockText="1" noThreeD="1"/>
</file>

<file path=xl/ctrlProps/ctrlProp34.xml><?xml version="1.0" encoding="utf-8"?>
<formControlPr xmlns="http://schemas.microsoft.com/office/spreadsheetml/2009/9/main" objectType="CheckBox" checked="Checked" fmlaLink="$A$29" lockText="1" noThreeD="1"/>
</file>

<file path=xl/ctrlProps/ctrlProp35.xml><?xml version="1.0" encoding="utf-8"?>
<formControlPr xmlns="http://schemas.microsoft.com/office/spreadsheetml/2009/9/main" objectType="CheckBox" checked="Checked" fmlaLink="$A$30" lockText="1" noThreeD="1"/>
</file>

<file path=xl/ctrlProps/ctrlProp36.xml><?xml version="1.0" encoding="utf-8"?>
<formControlPr xmlns="http://schemas.microsoft.com/office/spreadsheetml/2009/9/main" objectType="CheckBox" checked="Checked" fmlaLink="$A$30" lockText="1" noThreeD="1"/>
</file>

<file path=xl/ctrlProps/ctrlProp37.xml><?xml version="1.0" encoding="utf-8"?>
<formControlPr xmlns="http://schemas.microsoft.com/office/spreadsheetml/2009/9/main" objectType="CheckBox" checked="Checked" fmlaLink="$A$31" lockText="1" noThreeD="1"/>
</file>

<file path=xl/ctrlProps/ctrlProp38.xml><?xml version="1.0" encoding="utf-8"?>
<formControlPr xmlns="http://schemas.microsoft.com/office/spreadsheetml/2009/9/main" objectType="CheckBox" checked="Checked" fmlaLink="$A$31" lockText="1" noThreeD="1"/>
</file>

<file path=xl/ctrlProps/ctrlProp39.xml><?xml version="1.0" encoding="utf-8"?>
<formControlPr xmlns="http://schemas.microsoft.com/office/spreadsheetml/2009/9/main" objectType="CheckBox" checked="Checked" fmlaLink="$A$32" lockText="1" noThreeD="1"/>
</file>

<file path=xl/ctrlProps/ctrlProp40.xml><?xml version="1.0" encoding="utf-8"?>
<formControlPr xmlns="http://schemas.microsoft.com/office/spreadsheetml/2009/9/main" objectType="CheckBox" checked="Checked" fmlaLink="$A$27" lockText="1" noThreeD="1"/>
</file>

<file path=xl/ctrlProps/ctrlProp41.xml><?xml version="1.0" encoding="utf-8"?>
<formControlPr xmlns="http://schemas.microsoft.com/office/spreadsheetml/2009/9/main" objectType="CheckBox" fmlaLink="$A$33" lockText="1" noThreeD="1"/>
</file>

<file path=xl/ctrlProps/ctrlProp42.xml><?xml version="1.0" encoding="utf-8"?>
<formControlPr xmlns="http://schemas.microsoft.com/office/spreadsheetml/2009/9/main" objectType="CheckBox" checked="Checked" fmlaLink="$A$28" lockText="1" noThreeD="1"/>
</file>

<file path=xl/ctrlProps/ctrlProp43.xml><?xml version="1.0" encoding="utf-8"?>
<formControlPr xmlns="http://schemas.microsoft.com/office/spreadsheetml/2009/9/main" objectType="CheckBox" fmlaLink="$A$34" lockText="1" noThreeD="1"/>
</file>

<file path=xl/ctrlProps/ctrlProp44.xml><?xml version="1.0" encoding="utf-8"?>
<formControlPr xmlns="http://schemas.microsoft.com/office/spreadsheetml/2009/9/main" objectType="CheckBox" checked="Checked" fmlaLink="$A$40" lockText="1" noThreeD="1"/>
</file>

<file path=xl/ctrlProps/ctrlProp45.xml><?xml version="1.0" encoding="utf-8"?>
<formControlPr xmlns="http://schemas.microsoft.com/office/spreadsheetml/2009/9/main" objectType="CheckBox" checked="Checked" fmlaLink="$A$35" lockText="1" noThreeD="1"/>
</file>

<file path=xl/ctrlProps/ctrlProp46.xml><?xml version="1.0" encoding="utf-8"?>
<formControlPr xmlns="http://schemas.microsoft.com/office/spreadsheetml/2009/9/main" objectType="CheckBox" checked="Checked" fmlaLink="$A$41" lockText="1" noThreeD="1"/>
</file>

<file path=xl/ctrlProps/ctrlProp47.xml><?xml version="1.0" encoding="utf-8"?>
<formControlPr xmlns="http://schemas.microsoft.com/office/spreadsheetml/2009/9/main" objectType="CheckBox" fmlaLink="$A$36" lockText="1" noThreeD="1"/>
</file>

<file path=xl/ctrlProps/ctrlProp48.xml><?xml version="1.0" encoding="utf-8"?>
<formControlPr xmlns="http://schemas.microsoft.com/office/spreadsheetml/2009/9/main" objectType="CheckBox" checked="Checked" fmlaLink="$A$37" lockText="1" noThreeD="1"/>
</file>

<file path=xl/ctrlProps/ctrlProp49.xml><?xml version="1.0" encoding="utf-8"?>
<formControlPr xmlns="http://schemas.microsoft.com/office/spreadsheetml/2009/9/main" objectType="CheckBox" checked="Checked" fmlaLink="$A$37" lockText="1" noThreeD="1"/>
</file>

<file path=xl/ctrlProps/ctrlProp50.xml><?xml version="1.0" encoding="utf-8"?>
<formControlPr xmlns="http://schemas.microsoft.com/office/spreadsheetml/2009/9/main" objectType="CheckBox" fmlaLink="$A$38" lockText="1" noThreeD="1"/>
</file>

<file path=xl/ctrlProps/ctrlProp51.xml><?xml version="1.0" encoding="utf-8"?>
<formControlPr xmlns="http://schemas.microsoft.com/office/spreadsheetml/2009/9/main" objectType="CheckBox" fmlaLink="$A$38" lockText="1" noThreeD="1"/>
</file>

<file path=xl/ctrlProps/ctrlProp52.xml><?xml version="1.0" encoding="utf-8"?>
<formControlPr xmlns="http://schemas.microsoft.com/office/spreadsheetml/2009/9/main" objectType="CheckBox" checked="Checked" fmlaLink="$A$23" lockText="1" noThreeD="1"/>
</file>

<file path=xl/ctrlProps/ctrlProp53.xml><?xml version="1.0" encoding="utf-8"?>
<formControlPr xmlns="http://schemas.microsoft.com/office/spreadsheetml/2009/9/main" objectType="CheckBox" checked="Checked" fmlaLink="$A$39" lockText="1" noThreeD="1"/>
</file>

<file path=xl/ctrlProps/ctrlProp54.xml><?xml version="1.0" encoding="utf-8"?>
<formControlPr xmlns="http://schemas.microsoft.com/office/spreadsheetml/2009/9/main" objectType="CheckBox" checked="Checked" fmlaLink="$A$42" lockText="1" noThreeD="1"/>
</file>

<file path=xl/ctrlProps/ctrlProp55.xml><?xml version="1.0" encoding="utf-8"?>
<formControlPr xmlns="http://schemas.microsoft.com/office/spreadsheetml/2009/9/main" objectType="CheckBox" checked="Checked" fmlaLink="$A$40" lockText="1" noThreeD="1"/>
</file>

<file path=xl/ctrlProps/ctrlProp56.xml><?xml version="1.0" encoding="utf-8"?>
<formControlPr xmlns="http://schemas.microsoft.com/office/spreadsheetml/2009/9/main" objectType="CheckBox" checked="Checked" fmlaLink="$A$32" lockText="1" noThreeD="1"/>
</file>

<file path=xl/ctrlProps/ctrlProp57.xml><?xml version="1.0" encoding="utf-8"?>
<formControlPr xmlns="http://schemas.microsoft.com/office/spreadsheetml/2009/9/main" objectType="CheckBox" checked="Checked" fmlaLink="$A$41" lockText="1" noThreeD="1"/>
</file>

<file path=xl/ctrlProps/ctrlProp58.xml><?xml version="1.0" encoding="utf-8"?>
<formControlPr xmlns="http://schemas.microsoft.com/office/spreadsheetml/2009/9/main" objectType="CheckBox" checked="Checked" fmlaLink="$A$41" lockText="1" noThreeD="1"/>
</file>

<file path=xl/ctrlProps/ctrlProp59.xml><?xml version="1.0" encoding="utf-8"?>
<formControlPr xmlns="http://schemas.microsoft.com/office/spreadsheetml/2009/9/main" objectType="CheckBox" checked="Checked" fmlaLink="$A$42" lockText="1" noThreeD="1"/>
</file>

<file path=xl/ctrlProps/ctrlProp60.xml><?xml version="1.0" encoding="utf-8"?>
<formControlPr xmlns="http://schemas.microsoft.com/office/spreadsheetml/2009/9/main" objectType="CheckBox" checked="Checked" fmlaLink="$A$30" lockText="1" noThreeD="1"/>
</file>

<file path=xl/ctrlProps/ctrlProp61.xml><?xml version="1.0" encoding="utf-8"?>
<formControlPr xmlns="http://schemas.microsoft.com/office/spreadsheetml/2009/9/main" objectType="CheckBox" checked="Checked" fmlaLink="$A$43" lockText="1" noThreeD="1"/>
</file>

<file path=xl/ctrlProps/ctrlProp62.xml><?xml version="1.0" encoding="utf-8"?>
<formControlPr xmlns="http://schemas.microsoft.com/office/spreadsheetml/2009/9/main" objectType="CheckBox" checked="Checked" fmlaLink="$A$43" lockText="1" noThreeD="1"/>
</file>

<file path=xl/ctrlProps/ctrlProp63.xml><?xml version="1.0" encoding="utf-8"?>
<formControlPr xmlns="http://schemas.microsoft.com/office/spreadsheetml/2009/9/main" objectType="CheckBox" checked="Checked" fmlaLink="$A$44" lockText="1" noThreeD="1"/>
</file>

<file path=xl/ctrlProps/ctrlProp64.xml><?xml version="1.0" encoding="utf-8"?>
<formControlPr xmlns="http://schemas.microsoft.com/office/spreadsheetml/2009/9/main" objectType="CheckBox" checked="Checked" fmlaLink="$A$31" lockText="1" noThreeD="1"/>
</file>

<file path=xl/ctrlProps/ctrlProp65.xml><?xml version="1.0" encoding="utf-8"?>
<formControlPr xmlns="http://schemas.microsoft.com/office/spreadsheetml/2009/9/main" objectType="CheckBox" checked="Checked" fmlaLink="$A$45" lockText="1" noThreeD="1"/>
</file>

<file path=xl/ctrlProps/ctrlProp66.xml><?xml version="1.0" encoding="utf-8"?>
<formControlPr xmlns="http://schemas.microsoft.com/office/spreadsheetml/2009/9/main" objectType="CheckBox" checked="Checked" fmlaLink="$A$45" lockText="1" noThreeD="1"/>
</file>

<file path=xl/ctrlProps/ctrlProp67.xml><?xml version="1.0" encoding="utf-8"?>
<formControlPr xmlns="http://schemas.microsoft.com/office/spreadsheetml/2009/9/main" objectType="CheckBox" checked="Checked" fmlaLink="$A$46" lockText="1" noThreeD="1"/>
</file>

<file path=xl/ctrlProps/ctrlProp68.xml><?xml version="1.0" encoding="utf-8"?>
<formControlPr xmlns="http://schemas.microsoft.com/office/spreadsheetml/2009/9/main" objectType="CheckBox" checked="Checked" fmlaLink="$A$24" lockText="1" noThreeD="1"/>
</file>

<file path=xl/ctrlProps/ctrlProp69.xml><?xml version="1.0" encoding="utf-8"?>
<formControlPr xmlns="http://schemas.microsoft.com/office/spreadsheetml/2009/9/main" objectType="CheckBox" checked="Checked" fmlaLink="$A$47" lockText="1" noThreeD="1"/>
</file>

<file path=xl/ctrlProps/ctrlProp70.xml><?xml version="1.0" encoding="utf-8"?>
<formControlPr xmlns="http://schemas.microsoft.com/office/spreadsheetml/2009/9/main" objectType="CheckBox" checked="Checked" fmlaLink="$A$47" lockText="1" noThreeD="1"/>
</file>

<file path=xl/ctrlProps/ctrlProp71.xml><?xml version="1.0" encoding="utf-8"?>
<formControlPr xmlns="http://schemas.microsoft.com/office/spreadsheetml/2009/9/main" objectType="CheckBox" fmlaLink="$A$48" lockText="1" noThreeD="1"/>
</file>

<file path=xl/ctrlProps/ctrlProp72.xml><?xml version="1.0" encoding="utf-8"?>
<formControlPr xmlns="http://schemas.microsoft.com/office/spreadsheetml/2009/9/main" objectType="CheckBox" fmlaLink="$A$48" lockText="1" noThreeD="1"/>
</file>

<file path=xl/ctrlProps/ctrlProp73.xml><?xml version="1.0" encoding="utf-8"?>
<formControlPr xmlns="http://schemas.microsoft.com/office/spreadsheetml/2009/9/main" objectType="CheckBox" fmlaLink="$A$49" lockText="1" noThreeD="1"/>
</file>

<file path=xl/ctrlProps/ctrlProp74.xml><?xml version="1.0" encoding="utf-8"?>
<formControlPr xmlns="http://schemas.microsoft.com/office/spreadsheetml/2009/9/main" objectType="CheckBox" fmlaLink="$A$49" lockText="1" noThreeD="1"/>
</file>

<file path=xl/ctrlProps/ctrlProp75.xml><?xml version="1.0" encoding="utf-8"?>
<formControlPr xmlns="http://schemas.microsoft.com/office/spreadsheetml/2009/9/main" objectType="CheckBox" fmlaLink="$A$50" lockText="1" noThreeD="1"/>
</file>

<file path=xl/ctrlProps/ctrlProp76.xml><?xml version="1.0" encoding="utf-8"?>
<formControlPr xmlns="http://schemas.microsoft.com/office/spreadsheetml/2009/9/main" objectType="CheckBox" fmlaLink="$A$50" lockText="1" noThreeD="1"/>
</file>

<file path=xl/ctrlProps/ctrlProp77.xml><?xml version="1.0" encoding="utf-8"?>
<formControlPr xmlns="http://schemas.microsoft.com/office/spreadsheetml/2009/9/main" objectType="CheckBox" fmlaLink="$A$51" lockText="1" noThreeD="1"/>
</file>

<file path=xl/ctrlProps/ctrlProp78.xml><?xml version="1.0" encoding="utf-8"?>
<formControlPr xmlns="http://schemas.microsoft.com/office/spreadsheetml/2009/9/main" objectType="CheckBox" fmlaLink="$A$51" lockText="1" noThreeD="1"/>
</file>

<file path=xl/ctrlProps/ctrlProp79.xml><?xml version="1.0" encoding="utf-8"?>
<formControlPr xmlns="http://schemas.microsoft.com/office/spreadsheetml/2009/9/main" objectType="CheckBox" fmlaLink="$A$52" lockText="1" noThreeD="1"/>
</file>

<file path=xl/ctrlProps/ctrlProp80.xml><?xml version="1.0" encoding="utf-8"?>
<formControlPr xmlns="http://schemas.microsoft.com/office/spreadsheetml/2009/9/main" objectType="CheckBox" checked="Checked" fmlaLink="$A$44" lockText="1" noThreeD="1"/>
</file>

<file path=xl/ctrlProps/ctrlProp81.xml><?xml version="1.0" encoding="utf-8"?>
<formControlPr xmlns="http://schemas.microsoft.com/office/spreadsheetml/2009/9/main" objectType="CheckBox" checked="Checked" fmlaLink="$A$53" lockText="1" noThreeD="1"/>
</file>

<file path=xl/ctrlProps/ctrlProp82.xml><?xml version="1.0" encoding="utf-8"?>
<formControlPr xmlns="http://schemas.microsoft.com/office/spreadsheetml/2009/9/main" objectType="CheckBox" checked="Checked" fmlaLink="$A$45" lockText="1" noThreeD="1"/>
</file>

<file path=xl/ctrlProps/ctrlProp83.xml><?xml version="1.0" encoding="utf-8"?>
<formControlPr xmlns="http://schemas.microsoft.com/office/spreadsheetml/2009/9/main" objectType="CheckBox" fmlaLink="$A$54" lockText="1" noThreeD="1"/>
</file>

<file path=xl/ctrlProps/ctrlProp84.xml><?xml version="1.0" encoding="utf-8"?>
<formControlPr xmlns="http://schemas.microsoft.com/office/spreadsheetml/2009/9/main" objectType="CheckBox" fmlaLink="$A$54" lockText="1" noThreeD="1"/>
</file>

<file path=xl/ctrlProps/ctrlProp85.xml><?xml version="1.0" encoding="utf-8"?>
<formControlPr xmlns="http://schemas.microsoft.com/office/spreadsheetml/2009/9/main" objectType="CheckBox" checked="Checked" fmlaLink="$A$57" lockText="1" noThreeD="1"/>
</file>

<file path=xl/ctrlProps/ctrlProp86.xml><?xml version="1.0" encoding="utf-8"?>
<formControlPr xmlns="http://schemas.microsoft.com/office/spreadsheetml/2009/9/main" objectType="CheckBox" checked="Checked" fmlaLink="$A$57" lockText="1" noThreeD="1"/>
</file>

<file path=xl/ctrlProps/ctrlProp87.xml><?xml version="1.0" encoding="utf-8"?>
<formControlPr xmlns="http://schemas.microsoft.com/office/spreadsheetml/2009/9/main" objectType="CheckBox" checked="Checked" fmlaLink="$A$57" lockText="1" noThreeD="1"/>
</file>

<file path=xl/ctrlProps/ctrlProp88.xml><?xml version="1.0" encoding="utf-8"?>
<formControlPr xmlns="http://schemas.microsoft.com/office/spreadsheetml/2009/9/main" objectType="CheckBox" checked="Checked" fmlaLink="$A$57" lockText="1" noThreeD="1"/>
</file>

<file path=xl/ctrlProps/ctrlProp89.xml><?xml version="1.0" encoding="utf-8"?>
<formControlPr xmlns="http://schemas.microsoft.com/office/spreadsheetml/2009/9/main" objectType="CheckBox" checked="Checked" fmlaLink="$A$58" lockText="1" noThreeD="1"/>
</file>

<file path=xl/ctrlProps/ctrlProp90.xml><?xml version="1.0" encoding="utf-8"?>
<formControlPr xmlns="http://schemas.microsoft.com/office/spreadsheetml/2009/9/main" objectType="CheckBox" checked="Checked" fmlaLink="$A$58" lockText="1" noThreeD="1"/>
</file>

<file path=xl/ctrlProps/ctrlProp91.xml><?xml version="1.0" encoding="utf-8"?>
<formControlPr xmlns="http://schemas.microsoft.com/office/spreadsheetml/2009/9/main" objectType="CheckBox" checked="Checked" fmlaLink="$A$59" lockText="1" noThreeD="1"/>
</file>

<file path=xl/ctrlProps/ctrlProp92.xml><?xml version="1.0" encoding="utf-8"?>
<formControlPr xmlns="http://schemas.microsoft.com/office/spreadsheetml/2009/9/main" objectType="CheckBox" checked="Checked" fmlaLink="$A$59" lockText="1" noThreeD="1"/>
</file>

<file path=xl/ctrlProps/ctrlProp93.xml><?xml version="1.0" encoding="utf-8"?>
<formControlPr xmlns="http://schemas.microsoft.com/office/spreadsheetml/2009/9/main" objectType="CheckBox" checked="Checked" fmlaLink="$A$60" lockText="1" noThreeD="1"/>
</file>

<file path=xl/ctrlProps/ctrlProp94.xml><?xml version="1.0" encoding="utf-8"?>
<formControlPr xmlns="http://schemas.microsoft.com/office/spreadsheetml/2009/9/main" objectType="CheckBox" checked="Checked" fmlaLink="$A$60" lockText="1" noThreeD="1"/>
</file>

<file path=xl/ctrlProps/ctrlProp95.xml><?xml version="1.0" encoding="utf-8"?>
<formControlPr xmlns="http://schemas.microsoft.com/office/spreadsheetml/2009/9/main" objectType="CheckBox" fmlaLink="$A$61" lockText="1" noThreeD="1"/>
</file>

<file path=xl/ctrlProps/ctrlProp96.xml><?xml version="1.0" encoding="utf-8"?>
<formControlPr xmlns="http://schemas.microsoft.com/office/spreadsheetml/2009/9/main" objectType="CheckBox" fmlaLink="$A$61" lockText="1" noThreeD="1"/>
</file>

<file path=xl/ctrlProps/ctrlProp97.xml><?xml version="1.0" encoding="utf-8"?>
<formControlPr xmlns="http://schemas.microsoft.com/office/spreadsheetml/2009/9/main" objectType="CheckBox" fmlaLink="$A$62" lockText="1" noThreeD="1"/>
</file>

<file path=xl/ctrlProps/ctrlProp98.xml><?xml version="1.0" encoding="utf-8"?>
<formControlPr xmlns="http://schemas.microsoft.com/office/spreadsheetml/2009/9/main" objectType="CheckBox" fmlaLink="$A$62" lockText="1" noThreeD="1"/>
</file>

<file path=xl/ctrlProps/ctrlProp99.xml><?xml version="1.0" encoding="utf-8"?>
<formControlPr xmlns="http://schemas.microsoft.com/office/spreadsheetml/2009/9/main" objectType="CheckBox" fmlaLink="$A$63" lockText="1" noThreeD="1"/>
</file>

<file path=xl/ctrlProps/ctrlProp100.xml><?xml version="1.0" encoding="utf-8"?>
<formControlPr xmlns="http://schemas.microsoft.com/office/spreadsheetml/2009/9/main" objectType="CheckBox" fmlaLink="$A$63" lockText="1" noThreeD="1"/>
</file>

<file path=xl/ctrlProps/ctrlProp101.xml><?xml version="1.0" encoding="utf-8"?>
<formControlPr xmlns="http://schemas.microsoft.com/office/spreadsheetml/2009/9/main" objectType="CheckBox" checked="Checked" fmlaLink="$A$64" lockText="1" noThreeD="1"/>
</file>

<file path=xl/ctrlProps/ctrlProp102.xml><?xml version="1.0" encoding="utf-8"?>
<formControlPr xmlns="http://schemas.microsoft.com/office/spreadsheetml/2009/9/main" objectType="CheckBox" checked="Checked" fmlaLink="$A$64" lockText="1" noThreeD="1"/>
</file>

<file path=xl/ctrlProps/ctrlProp103.xml><?xml version="1.0" encoding="utf-8"?>
<formControlPr xmlns="http://schemas.microsoft.com/office/spreadsheetml/2009/9/main" objectType="CheckBox" checked="Checked" fmlaLink="$A$66" lockText="1" noThreeD="1"/>
</file>

<file path=xl/ctrlProps/ctrlProp104.xml><?xml version="1.0" encoding="utf-8"?>
<formControlPr xmlns="http://schemas.microsoft.com/office/spreadsheetml/2009/9/main" objectType="CheckBox" checked="Checked" fmlaLink="$A$66" lockText="1" noThreeD="1"/>
</file>

<file path=xl/ctrlProps/ctrlProp105.xml><?xml version="1.0" encoding="utf-8"?>
<formControlPr xmlns="http://schemas.microsoft.com/office/spreadsheetml/2009/9/main" objectType="CheckBox" checked="Checked" fmlaLink="$A$70" lockText="1" noThreeD="1"/>
</file>

<file path=xl/ctrlProps/ctrlProp106.xml><?xml version="1.0" encoding="utf-8"?>
<formControlPr xmlns="http://schemas.microsoft.com/office/spreadsheetml/2009/9/main" objectType="CheckBox" fmlaLink="$A$69" lockText="1" noThreeD="1"/>
</file>

<file path=xl/ctrlProps/ctrlProp107.xml><?xml version="1.0" encoding="utf-8"?>
<formControlPr xmlns="http://schemas.microsoft.com/office/spreadsheetml/2009/9/main" objectType="CheckBox" fmlaLink="$A$71" lockText="1" noThreeD="1"/>
</file>

<file path=xl/ctrlProps/ctrlProp108.xml><?xml version="1.0" encoding="utf-8"?>
<formControlPr xmlns="http://schemas.microsoft.com/office/spreadsheetml/2009/9/main" objectType="CheckBox" checked="Checked" fmlaLink="$A$70" lockText="1" noThreeD="1"/>
</file>

<file path=xl/ctrlProps/ctrlProp109.xml><?xml version="1.0" encoding="utf-8"?>
<formControlPr xmlns="http://schemas.microsoft.com/office/spreadsheetml/2009/9/main" objectType="CheckBox" checked="Checked" fmlaLink="$A$72" lockText="1" noThreeD="1"/>
</file>

<file path=xl/ctrlProps/ctrlProp110.xml><?xml version="1.0" encoding="utf-8"?>
<formControlPr xmlns="http://schemas.microsoft.com/office/spreadsheetml/2009/9/main" objectType="CheckBox" fmlaLink="$A71" lockText="1" noThreeD="1"/>
</file>

<file path=xl/ctrlProps/ctrlProp111.xml><?xml version="1.0" encoding="utf-8"?>
<formControlPr xmlns="http://schemas.microsoft.com/office/spreadsheetml/2009/9/main" objectType="CheckBox" checked="Checked" fmlaLink="$A$73" lockText="1" noThreeD="1"/>
</file>

<file path=xl/ctrlProps/ctrlProp112.xml><?xml version="1.0" encoding="utf-8"?>
<formControlPr xmlns="http://schemas.microsoft.com/office/spreadsheetml/2009/9/main" objectType="CheckBox" checked="Checked" fmlaLink="$A$72" lockText="1" noThreeD="1"/>
</file>

<file path=xl/ctrlProps/ctrlProp113.xml><?xml version="1.0" encoding="utf-8"?>
<formControlPr xmlns="http://schemas.microsoft.com/office/spreadsheetml/2009/9/main" objectType="CheckBox" fmlaLink="$A$74" lockText="1" noThreeD="1"/>
</file>

<file path=xl/ctrlProps/ctrlProp114.xml><?xml version="1.0" encoding="utf-8"?>
<formControlPr xmlns="http://schemas.microsoft.com/office/spreadsheetml/2009/9/main" objectType="CheckBox" checked="Checked" fmlaLink="$A$72" lockText="1" noThreeD="1"/>
</file>

<file path=xl/ctrlProps/ctrlProp115.xml><?xml version="1.0" encoding="utf-8"?>
<formControlPr xmlns="http://schemas.microsoft.com/office/spreadsheetml/2009/9/main" objectType="CheckBox" checked="Checked" fmlaLink="A4" lockText="1" noThreeD="1"/>
</file>

<file path=xl/ctrlProps/ctrlProp116.xml><?xml version="1.0" encoding="utf-8"?>
<formControlPr xmlns="http://schemas.microsoft.com/office/spreadsheetml/2009/9/main" objectType="CheckBox" checked="Checked" fmlaLink="$A$65" lockText="1" noThreeD="1"/>
</file>

<file path=xl/ctrlProps/ctrlProp117.xml><?xml version="1.0" encoding="utf-8"?>
<formControlPr xmlns="http://schemas.microsoft.com/office/spreadsheetml/2009/9/main" objectType="CheckBox" checked="Checked" fmlaLink="$A$66" lockText="1" noThreeD="1"/>
</file>

<file path=xl/ctrlProps/ctrlProp118.xml><?xml version="1.0" encoding="utf-8"?>
<formControlPr xmlns="http://schemas.microsoft.com/office/spreadsheetml/2009/9/main" objectType="CheckBox" checked="Checked" fmlaLink="$A$65" lockText="1" noThreeD="1"/>
</file>

<file path=xl/ctrlProps/ctrlProp119.xml><?xml version="1.0" encoding="utf-8"?>
<formControlPr xmlns="http://schemas.microsoft.com/office/spreadsheetml/2009/9/main" objectType="CheckBox" fmlaLink="$A$12" lockText="1" noThreeD="1"/>
</file>

<file path=xl/ctrlProps/ctrlProp120.xml><?xml version="1.0" encoding="utf-8"?>
<formControlPr xmlns="http://schemas.microsoft.com/office/spreadsheetml/2009/9/main" objectType="CheckBox" checked="Checked" fmlaLink="$A$13" lockText="1" noThreeD="1"/>
</file>

<file path=xl/ctrlProps/ctrlProp121.xml><?xml version="1.0" encoding="utf-8"?>
<formControlPr xmlns="http://schemas.microsoft.com/office/spreadsheetml/2009/9/main" objectType="CheckBox" fmlaLink="$A$11" lockText="1" noThreeD="1"/>
</file>

<file path=xl/ctrlProps/ctrlProp122.xml><?xml version="1.0" encoding="utf-8"?>
<formControlPr xmlns="http://schemas.microsoft.com/office/spreadsheetml/2009/9/main" objectType="CheckBox" fmlaLink="$A$12" lockText="1" noThreeD="1"/>
</file>

<file path=xl/ctrlProps/ctrlProp123.xml><?xml version="1.0" encoding="utf-8"?>
<formControlPr xmlns="http://schemas.microsoft.com/office/spreadsheetml/2009/9/main" objectType="CheckBox" fmlaLink="$A$9" lockText="1" noThreeD="1"/>
</file>

<file path=xl/ctrlProps/ctrlProp124.xml><?xml version="1.0" encoding="utf-8"?>
<formControlPr xmlns="http://schemas.microsoft.com/office/spreadsheetml/2009/9/main" objectType="CheckBox" fmlaLink="$A$8" lockText="1" noThreeD="1"/>
</file>

<file path=xl/ctrlProps/ctrlProp125.xml><?xml version="1.0" encoding="utf-8"?>
<formControlPr xmlns="http://schemas.microsoft.com/office/spreadsheetml/2009/9/main" objectType="CheckBox" fmlaLink="$A$8" lockText="1" noThreeD="1"/>
</file>

<file path=xl/ctrlProps/ctrlProp126.xml><?xml version="1.0" encoding="utf-8"?>
<formControlPr xmlns="http://schemas.microsoft.com/office/spreadsheetml/2009/9/main" objectType="CheckBox" fmlaLink="$A$8" lockText="1" noThreeD="1"/>
</file>

<file path=xl/ctrlProps/ctrlProp127.xml><?xml version="1.0" encoding="utf-8"?>
<formControlPr xmlns="http://schemas.microsoft.com/office/spreadsheetml/2009/9/main" objectType="CheckBox" fmlaLink="$A$9" lockText="1" noThreeD="1"/>
</file>

<file path=xl/ctrlProps/ctrlProp128.xml><?xml version="1.0" encoding="utf-8"?>
<formControlPr xmlns="http://schemas.microsoft.com/office/spreadsheetml/2009/9/main" objectType="CheckBox" fmlaLink="$A$9" lockText="1" noThreeD="1"/>
</file>

<file path=xl/ctrlProps/ctrlProp129.xml><?xml version="1.0" encoding="utf-8"?>
<formControlPr xmlns="http://schemas.microsoft.com/office/spreadsheetml/2009/9/main" objectType="CheckBox" checked="Checked" fmlaLink="$A$10" lockText="1" noThreeD="1"/>
</file>

<file path=xl/ctrlProps/ctrlProp130.xml><?xml version="1.0" encoding="utf-8"?>
<formControlPr xmlns="http://schemas.microsoft.com/office/spreadsheetml/2009/9/main" objectType="CheckBox" checked="Checked" fmlaLink="$A$10" lockText="1" noThreeD="1"/>
</file>

<file path=xl/ctrlProps/ctrlProp131.xml><?xml version="1.0" encoding="utf-8"?>
<formControlPr xmlns="http://schemas.microsoft.com/office/spreadsheetml/2009/9/main" objectType="CheckBox" checked="Checked" fmlaLink="A4" lockText="1" noThreeD="1"/>
</file>

<file path=xl/ctrlProps/ctrlProp132.xml><?xml version="1.0" encoding="utf-8"?>
<formControlPr xmlns="http://schemas.microsoft.com/office/spreadsheetml/2009/9/main" objectType="CheckBox" fmlaLink="$A$25" lockText="1" noThreeD="1"/>
</file>

<file path=xl/ctrlProps/ctrlProp133.xml><?xml version="1.0" encoding="utf-8"?>
<formControlPr xmlns="http://schemas.microsoft.com/office/spreadsheetml/2009/9/main" objectType="CheckBox" fmlaLink="$A$33" lockText="1" noThreeD="1"/>
</file>

<file path=xl/ctrlProps/ctrlProp134.xml><?xml version="1.0" encoding="utf-8"?>
<formControlPr xmlns="http://schemas.microsoft.com/office/spreadsheetml/2009/9/main" objectType="CheckBox" fmlaLink="$A$34" lockText="1" noThreeD="1"/>
</file>

<file path=xl/ctrlProps/ctrlProp135.xml><?xml version="1.0" encoding="utf-8"?>
<formControlPr xmlns="http://schemas.microsoft.com/office/spreadsheetml/2009/9/main" objectType="CheckBox" checked="Checked" fmlaLink="$A$35" lockText="1" noThreeD="1"/>
</file>

<file path=xl/ctrlProps/ctrlProp136.xml><?xml version="1.0" encoding="utf-8"?>
<formControlPr xmlns="http://schemas.microsoft.com/office/spreadsheetml/2009/9/main" objectType="CheckBox" fmlaLink="$A$36" lockText="1" noThreeD="1"/>
</file>

<file path=xl/ctrlProps/ctrlProp137.xml><?xml version="1.0" encoding="utf-8"?>
<formControlPr xmlns="http://schemas.microsoft.com/office/spreadsheetml/2009/9/main" objectType="CheckBox" checked="Checked" fmlaLink="$A$39" lockText="1" noThreeD="1"/>
</file>

<file path=xl/ctrlProps/ctrlProp138.xml><?xml version="1.0" encoding="utf-8"?>
<formControlPr xmlns="http://schemas.microsoft.com/office/spreadsheetml/2009/9/main" objectType="CheckBox" checked="Checked" fmlaLink="$A$73" lockText="1" noThreeD="1"/>
</file>

<file path=xl/ctrlProps/ctrlProp139.xml><?xml version="1.0" encoding="utf-8"?>
<formControlPr xmlns="http://schemas.microsoft.com/office/spreadsheetml/2009/9/main" objectType="CheckBox" checked="Checked" fmlaLink="$A$46" lockText="1" noThreeD="1"/>
</file>

<file path=xl/ctrlProps/ctrlProp140.xml><?xml version="1.0" encoding="utf-8"?>
<formControlPr xmlns="http://schemas.microsoft.com/office/spreadsheetml/2009/9/main" objectType="CheckBox" fmlaLink="$A$52" lockText="1" noThreeD="1"/>
</file>

<file path=xl/ctrlProps/ctrlProp141.xml><?xml version="1.0" encoding="utf-8"?>
<formControlPr xmlns="http://schemas.microsoft.com/office/spreadsheetml/2009/9/main" objectType="CheckBox" checked="Checked" fmlaLink="$A$53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25400</xdr:rowOff>
        </xdr:from>
        <xdr:to>
          <xdr:col>1</xdr:col>
          <xdr:colOff>38100</xdr:colOff>
          <xdr:row>9</xdr:row>
          <xdr:rowOff>165100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25400</xdr:rowOff>
        </xdr:from>
        <xdr:to>
          <xdr:col>1</xdr:col>
          <xdr:colOff>38100</xdr:colOff>
          <xdr:row>9</xdr:row>
          <xdr:rowOff>165100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25400</xdr:rowOff>
        </xdr:from>
        <xdr:to>
          <xdr:col>1</xdr:col>
          <xdr:colOff>38100</xdr:colOff>
          <xdr:row>10</xdr:row>
          <xdr:rowOff>165100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25400</xdr:rowOff>
        </xdr:from>
        <xdr:to>
          <xdr:col>1</xdr:col>
          <xdr:colOff>38100</xdr:colOff>
          <xdr:row>10</xdr:row>
          <xdr:rowOff>165100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25400</xdr:rowOff>
        </xdr:from>
        <xdr:to>
          <xdr:col>1</xdr:col>
          <xdr:colOff>38100</xdr:colOff>
          <xdr:row>11</xdr:row>
          <xdr:rowOff>165100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25400</xdr:rowOff>
        </xdr:from>
        <xdr:to>
          <xdr:col>1</xdr:col>
          <xdr:colOff>38100</xdr:colOff>
          <xdr:row>11</xdr:row>
          <xdr:rowOff>165100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25400</xdr:rowOff>
        </xdr:from>
        <xdr:to>
          <xdr:col>1</xdr:col>
          <xdr:colOff>38100</xdr:colOff>
          <xdr:row>12</xdr:row>
          <xdr:rowOff>165100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25400</xdr:rowOff>
        </xdr:from>
        <xdr:to>
          <xdr:col>1</xdr:col>
          <xdr:colOff>38100</xdr:colOff>
          <xdr:row>12</xdr:row>
          <xdr:rowOff>165100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25400</xdr:rowOff>
        </xdr:from>
        <xdr:to>
          <xdr:col>1</xdr:col>
          <xdr:colOff>38100</xdr:colOff>
          <xdr:row>16</xdr:row>
          <xdr:rowOff>165100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25400</xdr:rowOff>
        </xdr:from>
        <xdr:to>
          <xdr:col>1</xdr:col>
          <xdr:colOff>38100</xdr:colOff>
          <xdr:row>16</xdr:row>
          <xdr:rowOff>165100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25400</xdr:rowOff>
        </xdr:from>
        <xdr:to>
          <xdr:col>1</xdr:col>
          <xdr:colOff>38100</xdr:colOff>
          <xdr:row>17</xdr:row>
          <xdr:rowOff>165100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25400</xdr:rowOff>
        </xdr:from>
        <xdr:to>
          <xdr:col>1</xdr:col>
          <xdr:colOff>38100</xdr:colOff>
          <xdr:row>17</xdr:row>
          <xdr:rowOff>165100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25400</xdr:rowOff>
        </xdr:from>
        <xdr:to>
          <xdr:col>1</xdr:col>
          <xdr:colOff>38100</xdr:colOff>
          <xdr:row>18</xdr:row>
          <xdr:rowOff>165100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25400</xdr:rowOff>
        </xdr:from>
        <xdr:to>
          <xdr:col>1</xdr:col>
          <xdr:colOff>38100</xdr:colOff>
          <xdr:row>18</xdr:row>
          <xdr:rowOff>165100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25400</xdr:rowOff>
        </xdr:from>
        <xdr:to>
          <xdr:col>1</xdr:col>
          <xdr:colOff>38100</xdr:colOff>
          <xdr:row>19</xdr:row>
          <xdr:rowOff>165100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25400</xdr:rowOff>
        </xdr:from>
        <xdr:to>
          <xdr:col>1</xdr:col>
          <xdr:colOff>38100</xdr:colOff>
          <xdr:row>19</xdr:row>
          <xdr:rowOff>165100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25400</xdr:rowOff>
        </xdr:from>
        <xdr:to>
          <xdr:col>1</xdr:col>
          <xdr:colOff>38100</xdr:colOff>
          <xdr:row>20</xdr:row>
          <xdr:rowOff>165100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25400</xdr:rowOff>
        </xdr:from>
        <xdr:to>
          <xdr:col>1</xdr:col>
          <xdr:colOff>38100</xdr:colOff>
          <xdr:row>20</xdr:row>
          <xdr:rowOff>165100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25400</xdr:rowOff>
        </xdr:from>
        <xdr:to>
          <xdr:col>1</xdr:col>
          <xdr:colOff>38100</xdr:colOff>
          <xdr:row>21</xdr:row>
          <xdr:rowOff>165100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25400</xdr:rowOff>
        </xdr:from>
        <xdr:to>
          <xdr:col>1</xdr:col>
          <xdr:colOff>38100</xdr:colOff>
          <xdr:row>21</xdr:row>
          <xdr:rowOff>165100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25400</xdr:rowOff>
        </xdr:from>
        <xdr:to>
          <xdr:col>1</xdr:col>
          <xdr:colOff>38100</xdr:colOff>
          <xdr:row>22</xdr:row>
          <xdr:rowOff>165100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25400</xdr:rowOff>
        </xdr:from>
        <xdr:to>
          <xdr:col>1</xdr:col>
          <xdr:colOff>38100</xdr:colOff>
          <xdr:row>22</xdr:row>
          <xdr:rowOff>165100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25400</xdr:rowOff>
        </xdr:from>
        <xdr:to>
          <xdr:col>1</xdr:col>
          <xdr:colOff>38100</xdr:colOff>
          <xdr:row>25</xdr:row>
          <xdr:rowOff>165100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25400</xdr:rowOff>
        </xdr:from>
        <xdr:to>
          <xdr:col>1</xdr:col>
          <xdr:colOff>38100</xdr:colOff>
          <xdr:row>25</xdr:row>
          <xdr:rowOff>165100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25400</xdr:rowOff>
        </xdr:from>
        <xdr:to>
          <xdr:col>1</xdr:col>
          <xdr:colOff>38100</xdr:colOff>
          <xdr:row>23</xdr:row>
          <xdr:rowOff>165100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25400</xdr:rowOff>
        </xdr:from>
        <xdr:to>
          <xdr:col>1</xdr:col>
          <xdr:colOff>38100</xdr:colOff>
          <xdr:row>23</xdr:row>
          <xdr:rowOff>165100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25400</xdr:rowOff>
        </xdr:from>
        <xdr:to>
          <xdr:col>1</xdr:col>
          <xdr:colOff>38100</xdr:colOff>
          <xdr:row>25</xdr:row>
          <xdr:rowOff>165100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25400</xdr:rowOff>
        </xdr:from>
        <xdr:to>
          <xdr:col>1</xdr:col>
          <xdr:colOff>38100</xdr:colOff>
          <xdr:row>25</xdr:row>
          <xdr:rowOff>165100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25400</xdr:rowOff>
        </xdr:from>
        <xdr:to>
          <xdr:col>1</xdr:col>
          <xdr:colOff>38100</xdr:colOff>
          <xdr:row>26</xdr:row>
          <xdr:rowOff>165100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25400</xdr:rowOff>
        </xdr:from>
        <xdr:to>
          <xdr:col>1</xdr:col>
          <xdr:colOff>38100</xdr:colOff>
          <xdr:row>26</xdr:row>
          <xdr:rowOff>165100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25400</xdr:rowOff>
        </xdr:from>
        <xdr:to>
          <xdr:col>1</xdr:col>
          <xdr:colOff>38100</xdr:colOff>
          <xdr:row>27</xdr:row>
          <xdr:rowOff>165100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25400</xdr:rowOff>
        </xdr:from>
        <xdr:to>
          <xdr:col>1</xdr:col>
          <xdr:colOff>38100</xdr:colOff>
          <xdr:row>27</xdr:row>
          <xdr:rowOff>165100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25400</xdr:rowOff>
        </xdr:from>
        <xdr:to>
          <xdr:col>1</xdr:col>
          <xdr:colOff>38100</xdr:colOff>
          <xdr:row>28</xdr:row>
          <xdr:rowOff>165100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25400</xdr:rowOff>
        </xdr:from>
        <xdr:to>
          <xdr:col>1</xdr:col>
          <xdr:colOff>38100</xdr:colOff>
          <xdr:row>28</xdr:row>
          <xdr:rowOff>165100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25400</xdr:rowOff>
        </xdr:from>
        <xdr:to>
          <xdr:col>1</xdr:col>
          <xdr:colOff>38100</xdr:colOff>
          <xdr:row>29</xdr:row>
          <xdr:rowOff>165100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25400</xdr:rowOff>
        </xdr:from>
        <xdr:to>
          <xdr:col>1</xdr:col>
          <xdr:colOff>38100</xdr:colOff>
          <xdr:row>29</xdr:row>
          <xdr:rowOff>165100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25400</xdr:rowOff>
        </xdr:from>
        <xdr:to>
          <xdr:col>1</xdr:col>
          <xdr:colOff>38100</xdr:colOff>
          <xdr:row>46</xdr:row>
          <xdr:rowOff>165100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25400</xdr:rowOff>
        </xdr:from>
        <xdr:to>
          <xdr:col>1</xdr:col>
          <xdr:colOff>38100</xdr:colOff>
          <xdr:row>46</xdr:row>
          <xdr:rowOff>165100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25400</xdr:rowOff>
        </xdr:from>
        <xdr:to>
          <xdr:col>1</xdr:col>
          <xdr:colOff>38100</xdr:colOff>
          <xdr:row>26</xdr:row>
          <xdr:rowOff>165100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25400</xdr:rowOff>
        </xdr:from>
        <xdr:to>
          <xdr:col>1</xdr:col>
          <xdr:colOff>38100</xdr:colOff>
          <xdr:row>26</xdr:row>
          <xdr:rowOff>165100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25400</xdr:rowOff>
        </xdr:from>
        <xdr:to>
          <xdr:col>1</xdr:col>
          <xdr:colOff>38100</xdr:colOff>
          <xdr:row>27</xdr:row>
          <xdr:rowOff>165100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25400</xdr:rowOff>
        </xdr:from>
        <xdr:to>
          <xdr:col>1</xdr:col>
          <xdr:colOff>38100</xdr:colOff>
          <xdr:row>27</xdr:row>
          <xdr:rowOff>165100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25400</xdr:rowOff>
        </xdr:from>
        <xdr:to>
          <xdr:col>1</xdr:col>
          <xdr:colOff>38100</xdr:colOff>
          <xdr:row>39</xdr:row>
          <xdr:rowOff>165100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25400</xdr:rowOff>
        </xdr:from>
        <xdr:to>
          <xdr:col>1</xdr:col>
          <xdr:colOff>38100</xdr:colOff>
          <xdr:row>39</xdr:row>
          <xdr:rowOff>165100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25400</xdr:rowOff>
        </xdr:from>
        <xdr:to>
          <xdr:col>1</xdr:col>
          <xdr:colOff>38100</xdr:colOff>
          <xdr:row>40</xdr:row>
          <xdr:rowOff>165100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25400</xdr:rowOff>
        </xdr:from>
        <xdr:to>
          <xdr:col>1</xdr:col>
          <xdr:colOff>38100</xdr:colOff>
          <xdr:row>40</xdr:row>
          <xdr:rowOff>165100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25400</xdr:rowOff>
        </xdr:from>
        <xdr:to>
          <xdr:col>1</xdr:col>
          <xdr:colOff>38100</xdr:colOff>
          <xdr:row>36</xdr:row>
          <xdr:rowOff>165100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25400</xdr:rowOff>
        </xdr:from>
        <xdr:to>
          <xdr:col>1</xdr:col>
          <xdr:colOff>38100</xdr:colOff>
          <xdr:row>36</xdr:row>
          <xdr:rowOff>165100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25400</xdr:rowOff>
        </xdr:from>
        <xdr:to>
          <xdr:col>1</xdr:col>
          <xdr:colOff>38100</xdr:colOff>
          <xdr:row>37</xdr:row>
          <xdr:rowOff>165100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25400</xdr:rowOff>
        </xdr:from>
        <xdr:to>
          <xdr:col>1</xdr:col>
          <xdr:colOff>38100</xdr:colOff>
          <xdr:row>37</xdr:row>
          <xdr:rowOff>165100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25400</xdr:rowOff>
        </xdr:from>
        <xdr:to>
          <xdr:col>1</xdr:col>
          <xdr:colOff>38100</xdr:colOff>
          <xdr:row>22</xdr:row>
          <xdr:rowOff>165100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25400</xdr:rowOff>
        </xdr:from>
        <xdr:to>
          <xdr:col>1</xdr:col>
          <xdr:colOff>38100</xdr:colOff>
          <xdr:row>22</xdr:row>
          <xdr:rowOff>165100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25400</xdr:rowOff>
        </xdr:from>
        <xdr:to>
          <xdr:col>1</xdr:col>
          <xdr:colOff>38100</xdr:colOff>
          <xdr:row>41</xdr:row>
          <xdr:rowOff>165100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25400</xdr:rowOff>
        </xdr:from>
        <xdr:to>
          <xdr:col>1</xdr:col>
          <xdr:colOff>38100</xdr:colOff>
          <xdr:row>41</xdr:row>
          <xdr:rowOff>165100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25400</xdr:rowOff>
        </xdr:from>
        <xdr:to>
          <xdr:col>1</xdr:col>
          <xdr:colOff>38100</xdr:colOff>
          <xdr:row>31</xdr:row>
          <xdr:rowOff>165100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25400</xdr:rowOff>
        </xdr:from>
        <xdr:to>
          <xdr:col>1</xdr:col>
          <xdr:colOff>38100</xdr:colOff>
          <xdr:row>31</xdr:row>
          <xdr:rowOff>165100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25400</xdr:rowOff>
        </xdr:from>
        <xdr:to>
          <xdr:col>1</xdr:col>
          <xdr:colOff>38100</xdr:colOff>
          <xdr:row>28</xdr:row>
          <xdr:rowOff>165100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25400</xdr:rowOff>
        </xdr:from>
        <xdr:to>
          <xdr:col>1</xdr:col>
          <xdr:colOff>38100</xdr:colOff>
          <xdr:row>28</xdr:row>
          <xdr:rowOff>165100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25400</xdr:rowOff>
        </xdr:from>
        <xdr:to>
          <xdr:col>1</xdr:col>
          <xdr:colOff>38100</xdr:colOff>
          <xdr:row>29</xdr:row>
          <xdr:rowOff>165100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25400</xdr:rowOff>
        </xdr:from>
        <xdr:to>
          <xdr:col>1</xdr:col>
          <xdr:colOff>38100</xdr:colOff>
          <xdr:row>29</xdr:row>
          <xdr:rowOff>165100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25400</xdr:rowOff>
        </xdr:from>
        <xdr:to>
          <xdr:col>1</xdr:col>
          <xdr:colOff>38100</xdr:colOff>
          <xdr:row>42</xdr:row>
          <xdr:rowOff>165100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25400</xdr:rowOff>
        </xdr:from>
        <xdr:to>
          <xdr:col>1</xdr:col>
          <xdr:colOff>38100</xdr:colOff>
          <xdr:row>42</xdr:row>
          <xdr:rowOff>165100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25400</xdr:rowOff>
        </xdr:from>
        <xdr:to>
          <xdr:col>1</xdr:col>
          <xdr:colOff>38100</xdr:colOff>
          <xdr:row>30</xdr:row>
          <xdr:rowOff>165100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25400</xdr:rowOff>
        </xdr:from>
        <xdr:to>
          <xdr:col>1</xdr:col>
          <xdr:colOff>38100</xdr:colOff>
          <xdr:row>30</xdr:row>
          <xdr:rowOff>165100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25400</xdr:rowOff>
        </xdr:from>
        <xdr:to>
          <xdr:col>1</xdr:col>
          <xdr:colOff>38100</xdr:colOff>
          <xdr:row>44</xdr:row>
          <xdr:rowOff>165100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25400</xdr:rowOff>
        </xdr:from>
        <xdr:to>
          <xdr:col>1</xdr:col>
          <xdr:colOff>38100</xdr:colOff>
          <xdr:row>44</xdr:row>
          <xdr:rowOff>165100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25400</xdr:rowOff>
        </xdr:from>
        <xdr:to>
          <xdr:col>1</xdr:col>
          <xdr:colOff>38100</xdr:colOff>
          <xdr:row>23</xdr:row>
          <xdr:rowOff>165100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25400</xdr:rowOff>
        </xdr:from>
        <xdr:to>
          <xdr:col>1</xdr:col>
          <xdr:colOff>38100</xdr:colOff>
          <xdr:row>23</xdr:row>
          <xdr:rowOff>165100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25400</xdr:rowOff>
        </xdr:from>
        <xdr:to>
          <xdr:col>1</xdr:col>
          <xdr:colOff>38100</xdr:colOff>
          <xdr:row>46</xdr:row>
          <xdr:rowOff>165100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25400</xdr:rowOff>
        </xdr:from>
        <xdr:to>
          <xdr:col>1</xdr:col>
          <xdr:colOff>38100</xdr:colOff>
          <xdr:row>46</xdr:row>
          <xdr:rowOff>165100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25400</xdr:rowOff>
        </xdr:from>
        <xdr:to>
          <xdr:col>1</xdr:col>
          <xdr:colOff>38100</xdr:colOff>
          <xdr:row>47</xdr:row>
          <xdr:rowOff>165100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25400</xdr:rowOff>
        </xdr:from>
        <xdr:to>
          <xdr:col>1</xdr:col>
          <xdr:colOff>38100</xdr:colOff>
          <xdr:row>47</xdr:row>
          <xdr:rowOff>165100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25400</xdr:rowOff>
        </xdr:from>
        <xdr:to>
          <xdr:col>1</xdr:col>
          <xdr:colOff>38100</xdr:colOff>
          <xdr:row>48</xdr:row>
          <xdr:rowOff>165100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25400</xdr:rowOff>
        </xdr:from>
        <xdr:to>
          <xdr:col>1</xdr:col>
          <xdr:colOff>38100</xdr:colOff>
          <xdr:row>48</xdr:row>
          <xdr:rowOff>165100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25400</xdr:rowOff>
        </xdr:from>
        <xdr:to>
          <xdr:col>1</xdr:col>
          <xdr:colOff>38100</xdr:colOff>
          <xdr:row>49</xdr:row>
          <xdr:rowOff>165100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25400</xdr:rowOff>
        </xdr:from>
        <xdr:to>
          <xdr:col>1</xdr:col>
          <xdr:colOff>38100</xdr:colOff>
          <xdr:row>49</xdr:row>
          <xdr:rowOff>165100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25400</xdr:rowOff>
        </xdr:from>
        <xdr:to>
          <xdr:col>1</xdr:col>
          <xdr:colOff>38100</xdr:colOff>
          <xdr:row>50</xdr:row>
          <xdr:rowOff>165100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25400</xdr:rowOff>
        </xdr:from>
        <xdr:to>
          <xdr:col>1</xdr:col>
          <xdr:colOff>38100</xdr:colOff>
          <xdr:row>50</xdr:row>
          <xdr:rowOff>165100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25400</xdr:rowOff>
        </xdr:from>
        <xdr:to>
          <xdr:col>1</xdr:col>
          <xdr:colOff>38100</xdr:colOff>
          <xdr:row>43</xdr:row>
          <xdr:rowOff>165100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25400</xdr:rowOff>
        </xdr:from>
        <xdr:to>
          <xdr:col>1</xdr:col>
          <xdr:colOff>38100</xdr:colOff>
          <xdr:row>43</xdr:row>
          <xdr:rowOff>165100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25400</xdr:rowOff>
        </xdr:from>
        <xdr:to>
          <xdr:col>1</xdr:col>
          <xdr:colOff>38100</xdr:colOff>
          <xdr:row>44</xdr:row>
          <xdr:rowOff>165100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25400</xdr:rowOff>
        </xdr:from>
        <xdr:to>
          <xdr:col>1</xdr:col>
          <xdr:colOff>38100</xdr:colOff>
          <xdr:row>44</xdr:row>
          <xdr:rowOff>165100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25400</xdr:rowOff>
        </xdr:from>
        <xdr:to>
          <xdr:col>1</xdr:col>
          <xdr:colOff>38100</xdr:colOff>
          <xdr:row>53</xdr:row>
          <xdr:rowOff>165100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25400</xdr:rowOff>
        </xdr:from>
        <xdr:to>
          <xdr:col>1</xdr:col>
          <xdr:colOff>38100</xdr:colOff>
          <xdr:row>53</xdr:row>
          <xdr:rowOff>165100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25400</xdr:rowOff>
        </xdr:from>
        <xdr:to>
          <xdr:col>1</xdr:col>
          <xdr:colOff>38100</xdr:colOff>
          <xdr:row>56</xdr:row>
          <xdr:rowOff>165100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25400</xdr:rowOff>
        </xdr:from>
        <xdr:to>
          <xdr:col>1</xdr:col>
          <xdr:colOff>38100</xdr:colOff>
          <xdr:row>56</xdr:row>
          <xdr:rowOff>165100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25400</xdr:rowOff>
        </xdr:from>
        <xdr:to>
          <xdr:col>1</xdr:col>
          <xdr:colOff>38100</xdr:colOff>
          <xdr:row>56</xdr:row>
          <xdr:rowOff>165100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25400</xdr:rowOff>
        </xdr:from>
        <xdr:to>
          <xdr:col>1</xdr:col>
          <xdr:colOff>38100</xdr:colOff>
          <xdr:row>56</xdr:row>
          <xdr:rowOff>165100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25400</xdr:rowOff>
        </xdr:from>
        <xdr:to>
          <xdr:col>1</xdr:col>
          <xdr:colOff>38100</xdr:colOff>
          <xdr:row>57</xdr:row>
          <xdr:rowOff>165100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25400</xdr:rowOff>
        </xdr:from>
        <xdr:to>
          <xdr:col>1</xdr:col>
          <xdr:colOff>38100</xdr:colOff>
          <xdr:row>57</xdr:row>
          <xdr:rowOff>165100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25400</xdr:rowOff>
        </xdr:from>
        <xdr:to>
          <xdr:col>1</xdr:col>
          <xdr:colOff>38100</xdr:colOff>
          <xdr:row>58</xdr:row>
          <xdr:rowOff>165100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25400</xdr:rowOff>
        </xdr:from>
        <xdr:to>
          <xdr:col>1</xdr:col>
          <xdr:colOff>38100</xdr:colOff>
          <xdr:row>58</xdr:row>
          <xdr:rowOff>165100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25400</xdr:rowOff>
        </xdr:from>
        <xdr:to>
          <xdr:col>1</xdr:col>
          <xdr:colOff>38100</xdr:colOff>
          <xdr:row>59</xdr:row>
          <xdr:rowOff>165100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25400</xdr:rowOff>
        </xdr:from>
        <xdr:to>
          <xdr:col>1</xdr:col>
          <xdr:colOff>38100</xdr:colOff>
          <xdr:row>59</xdr:row>
          <xdr:rowOff>165100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25400</xdr:rowOff>
        </xdr:from>
        <xdr:to>
          <xdr:col>1</xdr:col>
          <xdr:colOff>38100</xdr:colOff>
          <xdr:row>60</xdr:row>
          <xdr:rowOff>165100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25400</xdr:rowOff>
        </xdr:from>
        <xdr:to>
          <xdr:col>1</xdr:col>
          <xdr:colOff>38100</xdr:colOff>
          <xdr:row>60</xdr:row>
          <xdr:rowOff>165100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25400</xdr:rowOff>
        </xdr:from>
        <xdr:to>
          <xdr:col>1</xdr:col>
          <xdr:colOff>38100</xdr:colOff>
          <xdr:row>61</xdr:row>
          <xdr:rowOff>165100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25400</xdr:rowOff>
        </xdr:from>
        <xdr:to>
          <xdr:col>1</xdr:col>
          <xdr:colOff>38100</xdr:colOff>
          <xdr:row>61</xdr:row>
          <xdr:rowOff>165100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25400</xdr:rowOff>
        </xdr:from>
        <xdr:to>
          <xdr:col>1</xdr:col>
          <xdr:colOff>38100</xdr:colOff>
          <xdr:row>62</xdr:row>
          <xdr:rowOff>165100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25400</xdr:rowOff>
        </xdr:from>
        <xdr:to>
          <xdr:col>1</xdr:col>
          <xdr:colOff>38100</xdr:colOff>
          <xdr:row>62</xdr:row>
          <xdr:rowOff>165100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25400</xdr:rowOff>
        </xdr:from>
        <xdr:to>
          <xdr:col>1</xdr:col>
          <xdr:colOff>38100</xdr:colOff>
          <xdr:row>63</xdr:row>
          <xdr:rowOff>165100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25400</xdr:rowOff>
        </xdr:from>
        <xdr:to>
          <xdr:col>1</xdr:col>
          <xdr:colOff>38100</xdr:colOff>
          <xdr:row>63</xdr:row>
          <xdr:rowOff>165100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25400</xdr:rowOff>
        </xdr:from>
        <xdr:to>
          <xdr:col>1</xdr:col>
          <xdr:colOff>38100</xdr:colOff>
          <xdr:row>65</xdr:row>
          <xdr:rowOff>165100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25400</xdr:rowOff>
        </xdr:from>
        <xdr:to>
          <xdr:col>1</xdr:col>
          <xdr:colOff>38100</xdr:colOff>
          <xdr:row>65</xdr:row>
          <xdr:rowOff>165100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25400</xdr:rowOff>
        </xdr:from>
        <xdr:to>
          <xdr:col>1</xdr:col>
          <xdr:colOff>38100</xdr:colOff>
          <xdr:row>68</xdr:row>
          <xdr:rowOff>165100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25400</xdr:rowOff>
        </xdr:from>
        <xdr:to>
          <xdr:col>1</xdr:col>
          <xdr:colOff>38100</xdr:colOff>
          <xdr:row>68</xdr:row>
          <xdr:rowOff>165100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25400</xdr:rowOff>
        </xdr:from>
        <xdr:to>
          <xdr:col>1</xdr:col>
          <xdr:colOff>38100</xdr:colOff>
          <xdr:row>69</xdr:row>
          <xdr:rowOff>165100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25400</xdr:rowOff>
        </xdr:from>
        <xdr:to>
          <xdr:col>1</xdr:col>
          <xdr:colOff>38100</xdr:colOff>
          <xdr:row>69</xdr:row>
          <xdr:rowOff>165100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25400</xdr:rowOff>
        </xdr:from>
        <xdr:to>
          <xdr:col>1</xdr:col>
          <xdr:colOff>38100</xdr:colOff>
          <xdr:row>70</xdr:row>
          <xdr:rowOff>165100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25400</xdr:rowOff>
        </xdr:from>
        <xdr:to>
          <xdr:col>1</xdr:col>
          <xdr:colOff>38100</xdr:colOff>
          <xdr:row>70</xdr:row>
          <xdr:rowOff>165100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25400</xdr:rowOff>
        </xdr:from>
        <xdr:to>
          <xdr:col>1</xdr:col>
          <xdr:colOff>38100</xdr:colOff>
          <xdr:row>71</xdr:row>
          <xdr:rowOff>165100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25400</xdr:rowOff>
        </xdr:from>
        <xdr:to>
          <xdr:col>1</xdr:col>
          <xdr:colOff>38100</xdr:colOff>
          <xdr:row>71</xdr:row>
          <xdr:rowOff>165100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25400</xdr:rowOff>
        </xdr:from>
        <xdr:to>
          <xdr:col>1</xdr:col>
          <xdr:colOff>38100</xdr:colOff>
          <xdr:row>72</xdr:row>
          <xdr:rowOff>165100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25400</xdr:rowOff>
        </xdr:from>
        <xdr:to>
          <xdr:col>1</xdr:col>
          <xdr:colOff>38100</xdr:colOff>
          <xdr:row>72</xdr:row>
          <xdr:rowOff>165100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25400</xdr:rowOff>
        </xdr:from>
        <xdr:to>
          <xdr:col>1</xdr:col>
          <xdr:colOff>50800</xdr:colOff>
          <xdr:row>4</xdr:row>
          <xdr:rowOff>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25400</xdr:rowOff>
        </xdr:from>
        <xdr:to>
          <xdr:col>1</xdr:col>
          <xdr:colOff>38100</xdr:colOff>
          <xdr:row>64</xdr:row>
          <xdr:rowOff>165100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25400</xdr:rowOff>
        </xdr:from>
        <xdr:to>
          <xdr:col>1</xdr:col>
          <xdr:colOff>38100</xdr:colOff>
          <xdr:row>64</xdr:row>
          <xdr:rowOff>165100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25400</xdr:rowOff>
        </xdr:from>
        <xdr:to>
          <xdr:col>1</xdr:col>
          <xdr:colOff>38100</xdr:colOff>
          <xdr:row>64</xdr:row>
          <xdr:rowOff>165100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25400</xdr:rowOff>
        </xdr:from>
        <xdr:to>
          <xdr:col>1</xdr:col>
          <xdr:colOff>38100</xdr:colOff>
          <xdr:row>11</xdr:row>
          <xdr:rowOff>165100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25400</xdr:rowOff>
        </xdr:from>
        <xdr:to>
          <xdr:col>1</xdr:col>
          <xdr:colOff>38100</xdr:colOff>
          <xdr:row>12</xdr:row>
          <xdr:rowOff>165100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25400</xdr:rowOff>
        </xdr:from>
        <xdr:to>
          <xdr:col>1</xdr:col>
          <xdr:colOff>38100</xdr:colOff>
          <xdr:row>10</xdr:row>
          <xdr:rowOff>165100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25400</xdr:rowOff>
        </xdr:from>
        <xdr:to>
          <xdr:col>1</xdr:col>
          <xdr:colOff>38100</xdr:colOff>
          <xdr:row>11</xdr:row>
          <xdr:rowOff>165100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25400</xdr:rowOff>
        </xdr:from>
        <xdr:to>
          <xdr:col>1</xdr:col>
          <xdr:colOff>38100</xdr:colOff>
          <xdr:row>8</xdr:row>
          <xdr:rowOff>165100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25400</xdr:rowOff>
        </xdr:from>
        <xdr:to>
          <xdr:col>1</xdr:col>
          <xdr:colOff>38100</xdr:colOff>
          <xdr:row>7</xdr:row>
          <xdr:rowOff>165100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25400</xdr:rowOff>
        </xdr:from>
        <xdr:to>
          <xdr:col>1</xdr:col>
          <xdr:colOff>38100</xdr:colOff>
          <xdr:row>7</xdr:row>
          <xdr:rowOff>165100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25400</xdr:rowOff>
        </xdr:from>
        <xdr:to>
          <xdr:col>1</xdr:col>
          <xdr:colOff>38100</xdr:colOff>
          <xdr:row>7</xdr:row>
          <xdr:rowOff>165100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25400</xdr:rowOff>
        </xdr:from>
        <xdr:to>
          <xdr:col>1</xdr:col>
          <xdr:colOff>38100</xdr:colOff>
          <xdr:row>8</xdr:row>
          <xdr:rowOff>165100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25400</xdr:rowOff>
        </xdr:from>
        <xdr:to>
          <xdr:col>1</xdr:col>
          <xdr:colOff>38100</xdr:colOff>
          <xdr:row>8</xdr:row>
          <xdr:rowOff>165100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25400</xdr:rowOff>
        </xdr:from>
        <xdr:to>
          <xdr:col>1</xdr:col>
          <xdr:colOff>38100</xdr:colOff>
          <xdr:row>9</xdr:row>
          <xdr:rowOff>165100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25400</xdr:rowOff>
        </xdr:from>
        <xdr:to>
          <xdr:col>1</xdr:col>
          <xdr:colOff>38100</xdr:colOff>
          <xdr:row>9</xdr:row>
          <xdr:rowOff>165100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25400</xdr:rowOff>
        </xdr:from>
        <xdr:to>
          <xdr:col>1</xdr:col>
          <xdr:colOff>50800</xdr:colOff>
          <xdr:row>4</xdr:row>
          <xdr:rowOff>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25400</xdr:rowOff>
        </xdr:from>
        <xdr:to>
          <xdr:col>1</xdr:col>
          <xdr:colOff>38100</xdr:colOff>
          <xdr:row>24</xdr:row>
          <xdr:rowOff>165100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25400</xdr:rowOff>
        </xdr:from>
        <xdr:to>
          <xdr:col>1</xdr:col>
          <xdr:colOff>38100</xdr:colOff>
          <xdr:row>32</xdr:row>
          <xdr:rowOff>165100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25400</xdr:rowOff>
        </xdr:from>
        <xdr:to>
          <xdr:col>1</xdr:col>
          <xdr:colOff>38100</xdr:colOff>
          <xdr:row>33</xdr:row>
          <xdr:rowOff>165100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25400</xdr:rowOff>
        </xdr:from>
        <xdr:to>
          <xdr:col>1</xdr:col>
          <xdr:colOff>38100</xdr:colOff>
          <xdr:row>34</xdr:row>
          <xdr:rowOff>165100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25400</xdr:rowOff>
        </xdr:from>
        <xdr:to>
          <xdr:col>1</xdr:col>
          <xdr:colOff>38100</xdr:colOff>
          <xdr:row>35</xdr:row>
          <xdr:rowOff>165100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25400</xdr:rowOff>
        </xdr:from>
        <xdr:to>
          <xdr:col>1</xdr:col>
          <xdr:colOff>38100</xdr:colOff>
          <xdr:row>38</xdr:row>
          <xdr:rowOff>165100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25400</xdr:rowOff>
        </xdr:from>
        <xdr:to>
          <xdr:col>1</xdr:col>
          <xdr:colOff>38100</xdr:colOff>
          <xdr:row>72</xdr:row>
          <xdr:rowOff>165100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25400</xdr:rowOff>
        </xdr:from>
        <xdr:to>
          <xdr:col>1</xdr:col>
          <xdr:colOff>38100</xdr:colOff>
          <xdr:row>45</xdr:row>
          <xdr:rowOff>165100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25400</xdr:rowOff>
        </xdr:from>
        <xdr:to>
          <xdr:col>1</xdr:col>
          <xdr:colOff>38100</xdr:colOff>
          <xdr:row>51</xdr:row>
          <xdr:rowOff>165100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25400</xdr:rowOff>
        </xdr:from>
        <xdr:to>
          <xdr:col>1</xdr:col>
          <xdr:colOff>38100</xdr:colOff>
          <xdr:row>52</xdr:row>
          <xdr:rowOff>165100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132b674660c1295/Documents/Howard%20Boats/Price%20Sheets/2024%20Price%20Sheets/288%20Sport%20Deck%20Pricing_2023_checkmar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288 Sport Deck Pricing_2023_che"/>
    </sheetNames>
    <definedNames>
      <definedName name="CheckBox4_Click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38" Type="http://schemas.openxmlformats.org/officeDocument/2006/relationships/ctrlProp" Target="../ctrlProps/ctrlProp135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144" Type="http://schemas.openxmlformats.org/officeDocument/2006/relationships/ctrlProp" Target="../ctrlProps/ctrlProp141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16" Type="http://schemas.openxmlformats.org/officeDocument/2006/relationships/ctrlProp" Target="../ctrlProps/ctrlProp113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40" Type="http://schemas.openxmlformats.org/officeDocument/2006/relationships/ctrlProp" Target="../ctrlProps/ctrlProp13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43" Type="http://schemas.openxmlformats.org/officeDocument/2006/relationships/ctrlProp" Target="../ctrlProps/ctrlProp14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B053-1FBD-4F22-8947-A2C0170A25A3}">
  <sheetPr>
    <pageSetUpPr fitToPage="1"/>
  </sheetPr>
  <dimension ref="A1:E97"/>
  <sheetViews>
    <sheetView tabSelected="1" topLeftCell="A49" workbookViewId="0">
      <selection activeCell="A74" sqref="A74"/>
    </sheetView>
  </sheetViews>
  <sheetFormatPr defaultColWidth="8.81640625" defaultRowHeight="14.5" x14ac:dyDescent="0.35"/>
  <cols>
    <col min="1" max="1" width="3.81640625" style="1" customWidth="1"/>
    <col min="2" max="2" width="94.81640625" bestFit="1" customWidth="1"/>
    <col min="3" max="3" width="19.36328125" style="25" bestFit="1" customWidth="1"/>
    <col min="4" max="4" width="10.453125" style="16" customWidth="1"/>
    <col min="5" max="5" width="24.1796875" style="17" customWidth="1"/>
  </cols>
  <sheetData>
    <row r="1" spans="1:5" x14ac:dyDescent="0.35">
      <c r="B1" s="30" t="s">
        <v>0</v>
      </c>
      <c r="C1" s="31" t="s">
        <v>1</v>
      </c>
      <c r="D1" s="32" t="s">
        <v>2</v>
      </c>
      <c r="E1" s="33" t="s">
        <v>3</v>
      </c>
    </row>
    <row r="2" spans="1:5" ht="18" x14ac:dyDescent="0.35">
      <c r="A2" s="2"/>
      <c r="B2" s="30"/>
      <c r="C2" s="31"/>
      <c r="D2" s="32"/>
      <c r="E2" s="33"/>
    </row>
    <row r="3" spans="1:5" ht="18" x14ac:dyDescent="0.4">
      <c r="A3" s="3"/>
      <c r="B3" s="4"/>
      <c r="C3" s="5"/>
      <c r="D3" s="6"/>
      <c r="E3" s="7"/>
    </row>
    <row r="4" spans="1:5" x14ac:dyDescent="0.35">
      <c r="A4" s="1" t="b">
        <v>1</v>
      </c>
      <c r="B4" s="28" t="s">
        <v>86</v>
      </c>
      <c r="C4" s="8">
        <v>225500</v>
      </c>
      <c r="D4" s="9">
        <v>1</v>
      </c>
      <c r="E4" s="10">
        <v>225500</v>
      </c>
    </row>
    <row r="5" spans="1:5" x14ac:dyDescent="0.35">
      <c r="B5" s="11"/>
      <c r="C5" s="12"/>
      <c r="D5" s="13"/>
      <c r="E5" s="14"/>
    </row>
    <row r="6" spans="1:5" x14ac:dyDescent="0.35">
      <c r="C6" s="15"/>
    </row>
    <row r="7" spans="1:5" x14ac:dyDescent="0.35">
      <c r="B7" s="11" t="s">
        <v>5</v>
      </c>
      <c r="C7" s="15" t="s">
        <v>6</v>
      </c>
      <c r="D7" s="18"/>
      <c r="E7" s="14"/>
    </row>
    <row r="8" spans="1:5" x14ac:dyDescent="0.35">
      <c r="A8" s="19" t="b">
        <v>0</v>
      </c>
      <c r="B8" s="20" t="s">
        <v>7</v>
      </c>
      <c r="C8" s="15">
        <v>15500</v>
      </c>
      <c r="D8" s="18">
        <v>1</v>
      </c>
      <c r="E8" s="21" t="str">
        <f t="shared" ref="E8:E13" si="0">IF(A8=TRUE,D8*C8,"")</f>
        <v/>
      </c>
    </row>
    <row r="9" spans="1:5" x14ac:dyDescent="0.35">
      <c r="A9" s="19" t="b">
        <v>0</v>
      </c>
      <c r="B9" s="20" t="s">
        <v>8</v>
      </c>
      <c r="C9" s="15">
        <v>28000</v>
      </c>
      <c r="D9" s="18">
        <v>1</v>
      </c>
      <c r="E9" s="21" t="str">
        <f t="shared" si="0"/>
        <v/>
      </c>
    </row>
    <row r="10" spans="1:5" x14ac:dyDescent="0.35">
      <c r="A10" s="19" t="b">
        <v>1</v>
      </c>
      <c r="B10" s="20" t="s">
        <v>74</v>
      </c>
      <c r="C10" s="15">
        <v>38900</v>
      </c>
      <c r="D10" s="18">
        <v>1</v>
      </c>
      <c r="E10" s="21">
        <f t="shared" si="0"/>
        <v>38900</v>
      </c>
    </row>
    <row r="11" spans="1:5" x14ac:dyDescent="0.35">
      <c r="A11" s="19" t="b">
        <v>0</v>
      </c>
      <c r="B11" s="20" t="s">
        <v>69</v>
      </c>
      <c r="C11" s="15">
        <v>89000</v>
      </c>
      <c r="D11" s="16">
        <v>1</v>
      </c>
      <c r="E11" s="21" t="str">
        <f t="shared" si="0"/>
        <v/>
      </c>
    </row>
    <row r="12" spans="1:5" x14ac:dyDescent="0.35">
      <c r="A12" s="19" t="b">
        <v>0</v>
      </c>
      <c r="B12" s="20" t="s">
        <v>70</v>
      </c>
      <c r="C12" s="15">
        <v>99000</v>
      </c>
      <c r="D12" s="18">
        <v>1</v>
      </c>
      <c r="E12" s="21" t="str">
        <f t="shared" si="0"/>
        <v/>
      </c>
    </row>
    <row r="13" spans="1:5" x14ac:dyDescent="0.35">
      <c r="A13" s="19" t="b">
        <v>1</v>
      </c>
      <c r="B13" s="20" t="s">
        <v>9</v>
      </c>
      <c r="C13" s="15">
        <v>2500</v>
      </c>
      <c r="D13" s="18">
        <v>1</v>
      </c>
      <c r="E13" s="21">
        <f t="shared" si="0"/>
        <v>2500</v>
      </c>
    </row>
    <row r="14" spans="1:5" x14ac:dyDescent="0.35">
      <c r="A14" s="19"/>
      <c r="B14" s="20"/>
      <c r="C14" s="15"/>
      <c r="D14" s="18"/>
      <c r="E14" s="21"/>
    </row>
    <row r="15" spans="1:5" x14ac:dyDescent="0.35">
      <c r="A15" s="19"/>
      <c r="B15" s="20"/>
      <c r="C15" s="15"/>
      <c r="D15" s="18"/>
      <c r="E15" s="21" t="str">
        <f t="shared" ref="E15:E26" si="1">IF(A15=TRUE,D15*C15,"")</f>
        <v/>
      </c>
    </row>
    <row r="16" spans="1:5" x14ac:dyDescent="0.35">
      <c r="B16" s="11" t="s">
        <v>10</v>
      </c>
      <c r="C16" s="15"/>
      <c r="D16" s="18"/>
      <c r="E16" s="21" t="str">
        <f t="shared" si="1"/>
        <v/>
      </c>
    </row>
    <row r="17" spans="1:5" x14ac:dyDescent="0.35">
      <c r="A17" s="19" t="b">
        <v>1</v>
      </c>
      <c r="B17" s="20" t="s">
        <v>72</v>
      </c>
      <c r="C17" s="15">
        <v>1800</v>
      </c>
      <c r="D17" s="18">
        <v>1</v>
      </c>
      <c r="E17" s="21">
        <f t="shared" si="1"/>
        <v>1800</v>
      </c>
    </row>
    <row r="18" spans="1:5" x14ac:dyDescent="0.35">
      <c r="A18" s="19" t="b">
        <v>1</v>
      </c>
      <c r="B18" s="20" t="s">
        <v>11</v>
      </c>
      <c r="C18" s="15">
        <v>1750</v>
      </c>
      <c r="D18" s="18">
        <v>1</v>
      </c>
      <c r="E18" s="21">
        <f>IF(A18=TRUE,D18*C18,"")</f>
        <v>1750</v>
      </c>
    </row>
    <row r="19" spans="1:5" x14ac:dyDescent="0.35">
      <c r="A19" s="19" t="b">
        <v>1</v>
      </c>
      <c r="B19" s="20" t="s">
        <v>12</v>
      </c>
      <c r="C19" s="15">
        <v>110</v>
      </c>
      <c r="D19" s="18">
        <v>1</v>
      </c>
      <c r="E19" s="21">
        <f>IF(A19=TRUE,D19*C19,"")</f>
        <v>110</v>
      </c>
    </row>
    <row r="20" spans="1:5" x14ac:dyDescent="0.35">
      <c r="A20" s="19" t="b">
        <v>0</v>
      </c>
      <c r="B20" s="20" t="s">
        <v>13</v>
      </c>
      <c r="C20" s="15">
        <v>1800</v>
      </c>
      <c r="D20" s="18">
        <v>1</v>
      </c>
      <c r="E20" s="21" t="str">
        <f t="shared" si="1"/>
        <v/>
      </c>
    </row>
    <row r="21" spans="1:5" x14ac:dyDescent="0.35">
      <c r="A21" s="19" t="b">
        <v>0</v>
      </c>
      <c r="B21" s="20" t="s">
        <v>14</v>
      </c>
      <c r="C21" s="15">
        <v>1950</v>
      </c>
      <c r="D21" s="18">
        <v>1</v>
      </c>
      <c r="E21" s="21" t="str">
        <f t="shared" si="1"/>
        <v/>
      </c>
    </row>
    <row r="22" spans="1:5" x14ac:dyDescent="0.35">
      <c r="A22" s="19" t="b">
        <v>0</v>
      </c>
      <c r="B22" s="20" t="s">
        <v>15</v>
      </c>
      <c r="C22" s="15">
        <v>950</v>
      </c>
      <c r="D22" s="18">
        <v>1</v>
      </c>
      <c r="E22" s="21" t="str">
        <f t="shared" si="1"/>
        <v/>
      </c>
    </row>
    <row r="23" spans="1:5" x14ac:dyDescent="0.35">
      <c r="A23" s="19" t="b">
        <v>1</v>
      </c>
      <c r="B23" s="22" t="s">
        <v>87</v>
      </c>
      <c r="C23" s="15">
        <v>5000</v>
      </c>
      <c r="D23" s="18">
        <v>1</v>
      </c>
      <c r="E23" s="21">
        <f t="shared" si="1"/>
        <v>5000</v>
      </c>
    </row>
    <row r="24" spans="1:5" x14ac:dyDescent="0.35">
      <c r="A24" s="19" t="b">
        <v>1</v>
      </c>
      <c r="B24" s="22" t="s">
        <v>38</v>
      </c>
      <c r="C24" s="15" t="s">
        <v>25</v>
      </c>
      <c r="D24" s="18">
        <v>1</v>
      </c>
      <c r="E24" s="21"/>
    </row>
    <row r="25" spans="1:5" x14ac:dyDescent="0.35">
      <c r="A25" s="19" t="b">
        <v>0</v>
      </c>
      <c r="B25" s="22" t="s">
        <v>19</v>
      </c>
      <c r="C25" s="15">
        <v>1500</v>
      </c>
      <c r="D25" s="18">
        <v>1</v>
      </c>
      <c r="E25" s="21" t="str">
        <f t="shared" si="1"/>
        <v/>
      </c>
    </row>
    <row r="26" spans="1:5" x14ac:dyDescent="0.35">
      <c r="A26" s="19" t="b">
        <v>1</v>
      </c>
      <c r="B26" s="22" t="s">
        <v>17</v>
      </c>
      <c r="C26" s="15">
        <v>425</v>
      </c>
      <c r="D26" s="18">
        <v>2</v>
      </c>
      <c r="E26" s="21">
        <f t="shared" si="1"/>
        <v>850</v>
      </c>
    </row>
    <row r="27" spans="1:5" x14ac:dyDescent="0.35">
      <c r="A27" s="19" t="b">
        <v>1</v>
      </c>
      <c r="B27" s="22" t="s">
        <v>24</v>
      </c>
      <c r="C27" s="15" t="s">
        <v>25</v>
      </c>
      <c r="D27" s="18"/>
      <c r="E27" s="21" t="s">
        <v>26</v>
      </c>
    </row>
    <row r="28" spans="1:5" x14ac:dyDescent="0.35">
      <c r="A28" s="19" t="b">
        <v>1</v>
      </c>
      <c r="B28" s="22" t="s">
        <v>27</v>
      </c>
      <c r="C28" s="15" t="s">
        <v>25</v>
      </c>
      <c r="D28" s="18"/>
      <c r="E28" s="21" t="s">
        <v>26</v>
      </c>
    </row>
    <row r="29" spans="1:5" x14ac:dyDescent="0.35">
      <c r="A29" s="19" t="b">
        <v>1</v>
      </c>
      <c r="B29" s="22" t="s">
        <v>34</v>
      </c>
      <c r="C29" s="15" t="s">
        <v>25</v>
      </c>
      <c r="D29" s="18"/>
      <c r="E29" s="21" t="s">
        <v>26</v>
      </c>
    </row>
    <row r="30" spans="1:5" x14ac:dyDescent="0.35">
      <c r="A30" s="19" t="b">
        <v>1</v>
      </c>
      <c r="B30" s="22" t="s">
        <v>35</v>
      </c>
      <c r="C30" s="15">
        <v>2850</v>
      </c>
      <c r="D30" s="18">
        <v>1</v>
      </c>
      <c r="E30" s="21">
        <f>IF(A30=TRUE,D30*C30,"")</f>
        <v>2850</v>
      </c>
    </row>
    <row r="31" spans="1:5" x14ac:dyDescent="0.35">
      <c r="A31" s="19" t="b">
        <v>1</v>
      </c>
      <c r="B31" s="22" t="s">
        <v>37</v>
      </c>
      <c r="C31" s="15" t="s">
        <v>25</v>
      </c>
      <c r="D31" s="18"/>
      <c r="E31" s="21" t="s">
        <v>26</v>
      </c>
    </row>
    <row r="32" spans="1:5" x14ac:dyDescent="0.35">
      <c r="A32" s="19" t="b">
        <v>1</v>
      </c>
      <c r="B32" s="22" t="s">
        <v>33</v>
      </c>
      <c r="C32" s="15" t="s">
        <v>25</v>
      </c>
      <c r="D32" s="18"/>
      <c r="E32" s="21" t="s">
        <v>26</v>
      </c>
    </row>
    <row r="33" spans="1:5" x14ac:dyDescent="0.35">
      <c r="A33" s="19" t="b">
        <v>0</v>
      </c>
      <c r="B33" s="22" t="s">
        <v>20</v>
      </c>
      <c r="C33" s="15">
        <v>165</v>
      </c>
      <c r="D33" s="18">
        <v>1</v>
      </c>
      <c r="E33" s="21" t="str">
        <f t="shared" ref="E33:E38" si="2">IF(A33=TRUE,D33*C33,"")</f>
        <v/>
      </c>
    </row>
    <row r="34" spans="1:5" x14ac:dyDescent="0.35">
      <c r="A34" s="19" t="b">
        <v>0</v>
      </c>
      <c r="B34" s="22" t="s">
        <v>21</v>
      </c>
      <c r="C34" s="15">
        <v>180</v>
      </c>
      <c r="D34" s="18">
        <v>1</v>
      </c>
      <c r="E34" s="21" t="str">
        <f t="shared" si="2"/>
        <v/>
      </c>
    </row>
    <row r="35" spans="1:5" x14ac:dyDescent="0.35">
      <c r="A35" s="19" t="b">
        <v>1</v>
      </c>
      <c r="B35" s="22" t="s">
        <v>22</v>
      </c>
      <c r="C35" s="15">
        <v>675</v>
      </c>
      <c r="D35" s="18">
        <v>2</v>
      </c>
      <c r="E35" s="21">
        <f t="shared" si="2"/>
        <v>1350</v>
      </c>
    </row>
    <row r="36" spans="1:5" x14ac:dyDescent="0.35">
      <c r="A36" s="19" t="b">
        <v>0</v>
      </c>
      <c r="B36" s="22" t="s">
        <v>80</v>
      </c>
      <c r="C36" s="15">
        <v>135</v>
      </c>
      <c r="D36" s="18">
        <v>1</v>
      </c>
      <c r="E36" s="21" t="str">
        <f t="shared" si="2"/>
        <v/>
      </c>
    </row>
    <row r="37" spans="1:5" x14ac:dyDescent="0.35">
      <c r="A37" s="19" t="b">
        <v>1</v>
      </c>
      <c r="B37" s="22" t="s">
        <v>30</v>
      </c>
      <c r="C37" s="15">
        <v>2300</v>
      </c>
      <c r="D37" s="18">
        <v>1</v>
      </c>
      <c r="E37" s="21">
        <f t="shared" si="2"/>
        <v>2300</v>
      </c>
    </row>
    <row r="38" spans="1:5" x14ac:dyDescent="0.35">
      <c r="A38" s="19" t="b">
        <v>0</v>
      </c>
      <c r="B38" s="22" t="s">
        <v>31</v>
      </c>
      <c r="C38" s="15">
        <v>900</v>
      </c>
      <c r="D38" s="18">
        <v>1</v>
      </c>
      <c r="E38" s="21" t="str">
        <f t="shared" si="2"/>
        <v/>
      </c>
    </row>
    <row r="39" spans="1:5" x14ac:dyDescent="0.35">
      <c r="A39" s="19" t="b">
        <v>1</v>
      </c>
      <c r="B39" s="22" t="s">
        <v>16</v>
      </c>
      <c r="C39" s="15" t="s">
        <v>25</v>
      </c>
      <c r="D39" s="18">
        <v>1</v>
      </c>
      <c r="E39" s="21" t="s">
        <v>26</v>
      </c>
    </row>
    <row r="40" spans="1:5" x14ac:dyDescent="0.35">
      <c r="A40" s="19" t="b">
        <v>1</v>
      </c>
      <c r="B40" s="22" t="s">
        <v>28</v>
      </c>
      <c r="C40" s="15" t="s">
        <v>25</v>
      </c>
      <c r="D40" s="18">
        <v>2</v>
      </c>
      <c r="E40" s="21" t="s">
        <v>26</v>
      </c>
    </row>
    <row r="41" spans="1:5" x14ac:dyDescent="0.35">
      <c r="A41" s="19" t="b">
        <v>1</v>
      </c>
      <c r="B41" s="22" t="s">
        <v>29</v>
      </c>
      <c r="C41" s="15" t="s">
        <v>25</v>
      </c>
      <c r="D41" s="18">
        <v>2</v>
      </c>
      <c r="E41" s="21" t="s">
        <v>26</v>
      </c>
    </row>
    <row r="42" spans="1:5" x14ac:dyDescent="0.35">
      <c r="A42" s="19" t="b">
        <v>1</v>
      </c>
      <c r="B42" s="22" t="s">
        <v>32</v>
      </c>
      <c r="C42" s="15" t="s">
        <v>25</v>
      </c>
      <c r="D42" s="18">
        <v>1</v>
      </c>
      <c r="E42" s="21" t="s">
        <v>26</v>
      </c>
    </row>
    <row r="43" spans="1:5" x14ac:dyDescent="0.35">
      <c r="A43" s="19" t="b">
        <v>1</v>
      </c>
      <c r="B43" s="22" t="s">
        <v>36</v>
      </c>
      <c r="C43" s="15" t="s">
        <v>25</v>
      </c>
      <c r="D43" s="18">
        <v>1</v>
      </c>
      <c r="E43" s="21" t="s">
        <v>26</v>
      </c>
    </row>
    <row r="44" spans="1:5" x14ac:dyDescent="0.35">
      <c r="A44" s="19" t="b">
        <v>1</v>
      </c>
      <c r="B44" s="22" t="s">
        <v>44</v>
      </c>
      <c r="C44" s="23" t="s">
        <v>25</v>
      </c>
      <c r="D44" s="18">
        <v>1</v>
      </c>
      <c r="E44" s="21" t="s">
        <v>26</v>
      </c>
    </row>
    <row r="45" spans="1:5" x14ac:dyDescent="0.35">
      <c r="A45" s="19" t="b">
        <v>1</v>
      </c>
      <c r="B45" s="22" t="s">
        <v>45</v>
      </c>
      <c r="C45" s="15">
        <v>850</v>
      </c>
      <c r="D45" s="18">
        <v>1</v>
      </c>
      <c r="E45" s="21">
        <f t="shared" ref="E45:E53" si="3">IF(A45=TRUE,D45*C45,"")</f>
        <v>850</v>
      </c>
    </row>
    <row r="46" spans="1:5" x14ac:dyDescent="0.35">
      <c r="A46" s="19" t="b">
        <v>1</v>
      </c>
      <c r="B46" s="22" t="s">
        <v>18</v>
      </c>
      <c r="C46" s="15">
        <v>375</v>
      </c>
      <c r="D46" s="18">
        <v>1</v>
      </c>
      <c r="E46" s="21">
        <f t="shared" si="3"/>
        <v>375</v>
      </c>
    </row>
    <row r="47" spans="1:5" x14ac:dyDescent="0.35">
      <c r="A47" s="19" t="b">
        <v>1</v>
      </c>
      <c r="B47" s="22" t="s">
        <v>76</v>
      </c>
      <c r="C47" s="15">
        <v>2500</v>
      </c>
      <c r="D47" s="18">
        <v>1</v>
      </c>
      <c r="E47" s="21">
        <f t="shared" si="3"/>
        <v>2500</v>
      </c>
    </row>
    <row r="48" spans="1:5" x14ac:dyDescent="0.35">
      <c r="A48" s="19" t="b">
        <v>0</v>
      </c>
      <c r="B48" s="22" t="s">
        <v>39</v>
      </c>
      <c r="C48" s="15">
        <v>225</v>
      </c>
      <c r="D48" s="18">
        <v>1</v>
      </c>
      <c r="E48" s="21" t="str">
        <f t="shared" si="3"/>
        <v/>
      </c>
    </row>
    <row r="49" spans="1:5" x14ac:dyDescent="0.35">
      <c r="A49" s="19" t="b">
        <v>0</v>
      </c>
      <c r="B49" s="22" t="s">
        <v>41</v>
      </c>
      <c r="C49" s="15">
        <v>2300</v>
      </c>
      <c r="D49" s="18">
        <v>1</v>
      </c>
      <c r="E49" s="21" t="str">
        <f t="shared" si="3"/>
        <v/>
      </c>
    </row>
    <row r="50" spans="1:5" x14ac:dyDescent="0.35">
      <c r="A50" s="19" t="b">
        <v>0</v>
      </c>
      <c r="B50" s="22" t="s">
        <v>42</v>
      </c>
      <c r="C50" s="15">
        <v>4100</v>
      </c>
      <c r="D50" s="18">
        <v>1</v>
      </c>
      <c r="E50" s="21" t="str">
        <f t="shared" si="3"/>
        <v/>
      </c>
    </row>
    <row r="51" spans="1:5" x14ac:dyDescent="0.35">
      <c r="A51" s="19" t="b">
        <v>0</v>
      </c>
      <c r="B51" s="22" t="s">
        <v>43</v>
      </c>
      <c r="C51" s="15">
        <v>1200</v>
      </c>
      <c r="D51" s="18">
        <v>1</v>
      </c>
      <c r="E51" s="21" t="str">
        <f t="shared" si="3"/>
        <v/>
      </c>
    </row>
    <row r="52" spans="1:5" x14ac:dyDescent="0.35">
      <c r="A52" s="19" t="b">
        <v>0</v>
      </c>
      <c r="B52" s="22" t="s">
        <v>23</v>
      </c>
      <c r="C52" s="15">
        <v>875</v>
      </c>
      <c r="D52" s="18">
        <v>1</v>
      </c>
      <c r="E52" s="21" t="str">
        <f t="shared" si="3"/>
        <v/>
      </c>
    </row>
    <row r="53" spans="1:5" x14ac:dyDescent="0.35">
      <c r="A53" s="19" t="b">
        <v>1</v>
      </c>
      <c r="B53" s="22" t="s">
        <v>40</v>
      </c>
      <c r="C53" s="15">
        <v>160</v>
      </c>
      <c r="D53" s="18">
        <v>6</v>
      </c>
      <c r="E53" s="21">
        <f t="shared" si="3"/>
        <v>960</v>
      </c>
    </row>
    <row r="54" spans="1:5" x14ac:dyDescent="0.35">
      <c r="A54" s="19" t="b">
        <v>0</v>
      </c>
      <c r="B54" s="22" t="s">
        <v>46</v>
      </c>
      <c r="C54" s="15" t="s">
        <v>47</v>
      </c>
      <c r="D54" s="18"/>
      <c r="E54" s="14"/>
    </row>
    <row r="55" spans="1:5" x14ac:dyDescent="0.35">
      <c r="B55" s="22"/>
      <c r="C55" s="15"/>
      <c r="D55" s="18"/>
      <c r="E55" s="14"/>
    </row>
    <row r="56" spans="1:5" x14ac:dyDescent="0.35">
      <c r="B56" s="11" t="s">
        <v>48</v>
      </c>
      <c r="C56" s="15"/>
      <c r="D56" s="18"/>
      <c r="E56" s="14"/>
    </row>
    <row r="57" spans="1:5" x14ac:dyDescent="0.35">
      <c r="A57" s="19" t="b">
        <v>1</v>
      </c>
      <c r="B57" s="20" t="s">
        <v>49</v>
      </c>
      <c r="C57" s="15">
        <v>2750</v>
      </c>
      <c r="D57" s="18">
        <v>1</v>
      </c>
      <c r="E57" s="21">
        <f>IF(A57=TRUE,D57*C57,"")</f>
        <v>2750</v>
      </c>
    </row>
    <row r="58" spans="1:5" x14ac:dyDescent="0.35">
      <c r="A58" s="19" t="b">
        <v>1</v>
      </c>
      <c r="B58" s="22" t="s">
        <v>77</v>
      </c>
      <c r="C58" s="15">
        <v>600</v>
      </c>
      <c r="D58" s="18">
        <v>2</v>
      </c>
      <c r="E58" s="21">
        <f>IF(A58=TRUE,D58*C58,"")</f>
        <v>1200</v>
      </c>
    </row>
    <row r="59" spans="1:5" x14ac:dyDescent="0.35">
      <c r="A59" s="19" t="b">
        <v>1</v>
      </c>
      <c r="B59" s="20" t="s">
        <v>50</v>
      </c>
      <c r="C59" s="23">
        <v>150</v>
      </c>
      <c r="D59" s="18">
        <v>7</v>
      </c>
      <c r="E59" s="21">
        <f>IF(A59=TRUE,D59*C59,"")</f>
        <v>1050</v>
      </c>
    </row>
    <row r="60" spans="1:5" x14ac:dyDescent="0.35">
      <c r="A60" s="19" t="b">
        <v>1</v>
      </c>
      <c r="B60" s="22" t="s">
        <v>51</v>
      </c>
      <c r="C60" s="23" t="s">
        <v>25</v>
      </c>
      <c r="D60" s="18">
        <v>1</v>
      </c>
      <c r="E60" s="14" t="s">
        <v>4</v>
      </c>
    </row>
    <row r="61" spans="1:5" x14ac:dyDescent="0.35">
      <c r="A61" s="19" t="b">
        <v>0</v>
      </c>
      <c r="B61" s="22" t="s">
        <v>78</v>
      </c>
      <c r="C61" s="15">
        <v>450</v>
      </c>
      <c r="D61" s="18">
        <v>4</v>
      </c>
      <c r="E61" s="21" t="str">
        <f>IF(A61=TRUE,D61*C61,"")</f>
        <v/>
      </c>
    </row>
    <row r="62" spans="1:5" x14ac:dyDescent="0.35">
      <c r="A62" s="19" t="b">
        <v>0</v>
      </c>
      <c r="B62" s="22" t="s">
        <v>75</v>
      </c>
      <c r="C62" s="23" t="s">
        <v>25</v>
      </c>
      <c r="D62" s="18"/>
      <c r="E62" s="14" t="s">
        <v>4</v>
      </c>
    </row>
    <row r="63" spans="1:5" x14ac:dyDescent="0.35">
      <c r="A63" s="19" t="b">
        <v>0</v>
      </c>
      <c r="B63" s="22" t="s">
        <v>79</v>
      </c>
      <c r="C63" s="15" t="s">
        <v>52</v>
      </c>
      <c r="D63" s="18"/>
      <c r="E63" s="14"/>
    </row>
    <row r="64" spans="1:5" x14ac:dyDescent="0.35">
      <c r="A64" s="19" t="b">
        <v>1</v>
      </c>
      <c r="B64" s="20" t="s">
        <v>53</v>
      </c>
      <c r="C64" s="15">
        <v>1600</v>
      </c>
      <c r="D64" s="18">
        <v>1</v>
      </c>
      <c r="E64" s="21">
        <f>IF(A64=TRUE,D64*C64,"")</f>
        <v>1600</v>
      </c>
    </row>
    <row r="65" spans="1:5" x14ac:dyDescent="0.35">
      <c r="A65" s="19" t="b">
        <v>1</v>
      </c>
      <c r="B65" s="22" t="s">
        <v>54</v>
      </c>
      <c r="C65" s="15">
        <v>2400</v>
      </c>
      <c r="D65" s="18">
        <v>1</v>
      </c>
      <c r="E65" s="21">
        <f>IF(A65=TRUE,D65*C65,"")</f>
        <v>2400</v>
      </c>
    </row>
    <row r="66" spans="1:5" x14ac:dyDescent="0.35">
      <c r="A66" s="19" t="b">
        <v>1</v>
      </c>
      <c r="B66" s="22" t="s">
        <v>73</v>
      </c>
      <c r="C66" s="15">
        <v>75</v>
      </c>
      <c r="D66" s="18">
        <v>16</v>
      </c>
      <c r="E66" s="21">
        <f>IF(A66=TRUE,D66*C66,"")</f>
        <v>1200</v>
      </c>
    </row>
    <row r="67" spans="1:5" x14ac:dyDescent="0.35">
      <c r="A67" s="19"/>
      <c r="C67" s="15"/>
      <c r="D67" s="18"/>
      <c r="E67" s="21"/>
    </row>
    <row r="68" spans="1:5" x14ac:dyDescent="0.35">
      <c r="B68" s="29" t="s">
        <v>71</v>
      </c>
      <c r="C68" s="15"/>
      <c r="D68" s="18"/>
      <c r="E68" s="14"/>
    </row>
    <row r="69" spans="1:5" x14ac:dyDescent="0.35">
      <c r="A69" s="1" t="b">
        <v>0</v>
      </c>
      <c r="B69" s="22" t="s">
        <v>82</v>
      </c>
      <c r="C69" s="15">
        <v>1500</v>
      </c>
      <c r="D69" s="18">
        <v>1</v>
      </c>
      <c r="E69" s="21" t="str">
        <f>IF(A69=TRUE,D69*C69,"")</f>
        <v/>
      </c>
    </row>
    <row r="70" spans="1:5" x14ac:dyDescent="0.35">
      <c r="A70" s="19" t="b">
        <v>1</v>
      </c>
      <c r="B70" s="22" t="s">
        <v>55</v>
      </c>
      <c r="C70" s="15">
        <v>1800</v>
      </c>
      <c r="D70" s="18">
        <v>1</v>
      </c>
      <c r="E70" s="21">
        <f>IF(A70=TRUE,D70*C70,"")</f>
        <v>1800</v>
      </c>
    </row>
    <row r="71" spans="1:5" x14ac:dyDescent="0.35">
      <c r="A71" s="19" t="b">
        <v>0</v>
      </c>
      <c r="B71" s="20" t="s">
        <v>83</v>
      </c>
      <c r="C71" s="15">
        <v>8000</v>
      </c>
      <c r="D71" s="18">
        <v>1</v>
      </c>
      <c r="E71" s="21" t="str">
        <f>IF(A71=TRUE,D71*C71,"")</f>
        <v/>
      </c>
    </row>
    <row r="72" spans="1:5" x14ac:dyDescent="0.35">
      <c r="A72" s="19" t="b">
        <v>1</v>
      </c>
      <c r="B72" s="22" t="s">
        <v>81</v>
      </c>
      <c r="C72" s="15">
        <v>3500</v>
      </c>
      <c r="D72" s="18">
        <v>1</v>
      </c>
      <c r="E72" s="21">
        <f>IF(A72=TRUE,D72*C72,"")</f>
        <v>3500</v>
      </c>
    </row>
    <row r="73" spans="1:5" x14ac:dyDescent="0.35">
      <c r="A73" s="19" t="b">
        <v>1</v>
      </c>
      <c r="B73" s="22" t="s">
        <v>85</v>
      </c>
      <c r="C73" s="15">
        <v>8400</v>
      </c>
      <c r="D73" s="18">
        <v>1</v>
      </c>
      <c r="E73" s="21">
        <f>IF(A73=TRUE,D73*C73,"")</f>
        <v>8400</v>
      </c>
    </row>
    <row r="74" spans="1:5" x14ac:dyDescent="0.35">
      <c r="A74" s="19" t="b">
        <v>0</v>
      </c>
      <c r="E74" s="21" t="str">
        <f>IF(A74=TRUE,D73*C73,"")</f>
        <v/>
      </c>
    </row>
    <row r="75" spans="1:5" x14ac:dyDescent="0.35">
      <c r="B75" s="22"/>
      <c r="C75" s="15"/>
      <c r="D75" s="18"/>
      <c r="E75" s="14">
        <f>SUM(E4:E74)</f>
        <v>311495</v>
      </c>
    </row>
    <row r="76" spans="1:5" x14ac:dyDescent="0.35">
      <c r="B76" s="22"/>
      <c r="C76" s="15"/>
      <c r="D76" s="18"/>
      <c r="E76" s="14"/>
    </row>
    <row r="77" spans="1:5" x14ac:dyDescent="0.35">
      <c r="B77" s="22"/>
      <c r="E77" s="14"/>
    </row>
    <row r="78" spans="1:5" x14ac:dyDescent="0.35">
      <c r="B78" s="24"/>
    </row>
    <row r="79" spans="1:5" x14ac:dyDescent="0.35">
      <c r="B79" s="26" t="s">
        <v>56</v>
      </c>
    </row>
    <row r="80" spans="1:5" x14ac:dyDescent="0.35">
      <c r="B80" t="s">
        <v>57</v>
      </c>
      <c r="C80" s="25" t="s">
        <v>59</v>
      </c>
    </row>
    <row r="81" spans="2:2" x14ac:dyDescent="0.35">
      <c r="B81" t="s">
        <v>58</v>
      </c>
    </row>
    <row r="82" spans="2:2" x14ac:dyDescent="0.35">
      <c r="B82" t="s">
        <v>60</v>
      </c>
    </row>
    <row r="83" spans="2:2" x14ac:dyDescent="0.35">
      <c r="B83" t="s">
        <v>61</v>
      </c>
    </row>
    <row r="84" spans="2:2" x14ac:dyDescent="0.35">
      <c r="B84" t="s">
        <v>62</v>
      </c>
    </row>
    <row r="85" spans="2:2" x14ac:dyDescent="0.35">
      <c r="B85" t="s">
        <v>63</v>
      </c>
    </row>
    <row r="86" spans="2:2" x14ac:dyDescent="0.35">
      <c r="B86" t="s">
        <v>64</v>
      </c>
    </row>
    <row r="89" spans="2:2" x14ac:dyDescent="0.35">
      <c r="B89" t="s">
        <v>65</v>
      </c>
    </row>
    <row r="90" spans="2:2" x14ac:dyDescent="0.35">
      <c r="B90" t="s">
        <v>66</v>
      </c>
    </row>
    <row r="91" spans="2:2" x14ac:dyDescent="0.35">
      <c r="B91" t="s">
        <v>67</v>
      </c>
    </row>
    <row r="92" spans="2:2" x14ac:dyDescent="0.35">
      <c r="B92" t="s">
        <v>6</v>
      </c>
    </row>
    <row r="94" spans="2:2" x14ac:dyDescent="0.35">
      <c r="B94" s="27" t="s">
        <v>84</v>
      </c>
    </row>
    <row r="97" spans="2:2" x14ac:dyDescent="0.35">
      <c r="B97" t="s">
        <v>68</v>
      </c>
    </row>
  </sheetData>
  <mergeCells count="4">
    <mergeCell ref="B1:B2"/>
    <mergeCell ref="C1:C2"/>
    <mergeCell ref="D1:D2"/>
    <mergeCell ref="E1:E2"/>
  </mergeCells>
  <pageMargins left="0.7" right="0.7" top="0.75" bottom="0.75" header="0.3" footer="0.3"/>
  <pageSetup scale="4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9</xdr:row>
                    <xdr:rowOff>25400</xdr:rowOff>
                  </from>
                  <to>
                    <xdr:col>1</xdr:col>
                    <xdr:colOff>38100</xdr:colOff>
                    <xdr:row>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0</xdr:colOff>
                    <xdr:row>9</xdr:row>
                    <xdr:rowOff>25400</xdr:rowOff>
                  </from>
                  <to>
                    <xdr:col>1</xdr:col>
                    <xdr:colOff>38100</xdr:colOff>
                    <xdr:row>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10</xdr:row>
                    <xdr:rowOff>25400</xdr:rowOff>
                  </from>
                  <to>
                    <xdr:col>1</xdr:col>
                    <xdr:colOff>38100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0</xdr:colOff>
                    <xdr:row>10</xdr:row>
                    <xdr:rowOff>25400</xdr:rowOff>
                  </from>
                  <to>
                    <xdr:col>1</xdr:col>
                    <xdr:colOff>38100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11</xdr:row>
                    <xdr:rowOff>25400</xdr:rowOff>
                  </from>
                  <to>
                    <xdr:col>1</xdr:col>
                    <xdr:colOff>38100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0</xdr:colOff>
                    <xdr:row>11</xdr:row>
                    <xdr:rowOff>25400</xdr:rowOff>
                  </from>
                  <to>
                    <xdr:col>1</xdr:col>
                    <xdr:colOff>38100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12</xdr:row>
                    <xdr:rowOff>25400</xdr:rowOff>
                  </from>
                  <to>
                    <xdr:col>1</xdr:col>
                    <xdr:colOff>38100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25400</xdr:rowOff>
                  </from>
                  <to>
                    <xdr:col>1</xdr:col>
                    <xdr:colOff>38100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16</xdr:row>
                    <xdr:rowOff>25400</xdr:rowOff>
                  </from>
                  <to>
                    <xdr:col>1</xdr:col>
                    <xdr:colOff>38100</xdr:colOff>
                    <xdr:row>16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0</xdr:col>
                    <xdr:colOff>0</xdr:colOff>
                    <xdr:row>16</xdr:row>
                    <xdr:rowOff>25400</xdr:rowOff>
                  </from>
                  <to>
                    <xdr:col>1</xdr:col>
                    <xdr:colOff>38100</xdr:colOff>
                    <xdr:row>16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17</xdr:row>
                    <xdr:rowOff>25400</xdr:rowOff>
                  </from>
                  <to>
                    <xdr:col>1</xdr:col>
                    <xdr:colOff>38100</xdr:colOff>
                    <xdr:row>17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25400</xdr:rowOff>
                  </from>
                  <to>
                    <xdr:col>1</xdr:col>
                    <xdr:colOff>38100</xdr:colOff>
                    <xdr:row>17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18</xdr:row>
                    <xdr:rowOff>25400</xdr:rowOff>
                  </from>
                  <to>
                    <xdr:col>1</xdr:col>
                    <xdr:colOff>38100</xdr:colOff>
                    <xdr:row>18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0</xdr:col>
                    <xdr:colOff>0</xdr:colOff>
                    <xdr:row>18</xdr:row>
                    <xdr:rowOff>25400</xdr:rowOff>
                  </from>
                  <to>
                    <xdr:col>1</xdr:col>
                    <xdr:colOff>38100</xdr:colOff>
                    <xdr:row>18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19</xdr:row>
                    <xdr:rowOff>25400</xdr:rowOff>
                  </from>
                  <to>
                    <xdr:col>1</xdr:col>
                    <xdr:colOff>38100</xdr:colOff>
                    <xdr:row>19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25400</xdr:rowOff>
                  </from>
                  <to>
                    <xdr:col>1</xdr:col>
                    <xdr:colOff>38100</xdr:colOff>
                    <xdr:row>19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20</xdr:row>
                    <xdr:rowOff>25400</xdr:rowOff>
                  </from>
                  <to>
                    <xdr:col>1</xdr:col>
                    <xdr:colOff>38100</xdr:colOff>
                    <xdr:row>20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0</xdr:col>
                    <xdr:colOff>0</xdr:colOff>
                    <xdr:row>20</xdr:row>
                    <xdr:rowOff>25400</xdr:rowOff>
                  </from>
                  <to>
                    <xdr:col>1</xdr:col>
                    <xdr:colOff>38100</xdr:colOff>
                    <xdr:row>20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21</xdr:row>
                    <xdr:rowOff>25400</xdr:rowOff>
                  </from>
                  <to>
                    <xdr:col>1</xdr:col>
                    <xdr:colOff>38100</xdr:colOff>
                    <xdr:row>21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25400</xdr:rowOff>
                  </from>
                  <to>
                    <xdr:col>1</xdr:col>
                    <xdr:colOff>38100</xdr:colOff>
                    <xdr:row>21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22</xdr:row>
                    <xdr:rowOff>25400</xdr:rowOff>
                  </from>
                  <to>
                    <xdr:col>1</xdr:col>
                    <xdr:colOff>38100</xdr:colOff>
                    <xdr:row>22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0</xdr:col>
                    <xdr:colOff>0</xdr:colOff>
                    <xdr:row>22</xdr:row>
                    <xdr:rowOff>25400</xdr:rowOff>
                  </from>
                  <to>
                    <xdr:col>1</xdr:col>
                    <xdr:colOff>38100</xdr:colOff>
                    <xdr:row>22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25</xdr:row>
                    <xdr:rowOff>25400</xdr:rowOff>
                  </from>
                  <to>
                    <xdr:col>1</xdr:col>
                    <xdr:colOff>38100</xdr:colOff>
                    <xdr:row>25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25400</xdr:rowOff>
                  </from>
                  <to>
                    <xdr:col>1</xdr:col>
                    <xdr:colOff>38100</xdr:colOff>
                    <xdr:row>25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23</xdr:row>
                    <xdr:rowOff>25400</xdr:rowOff>
                  </from>
                  <to>
                    <xdr:col>1</xdr:col>
                    <xdr:colOff>38100</xdr:colOff>
                    <xdr:row>23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25400</xdr:rowOff>
                  </from>
                  <to>
                    <xdr:col>1</xdr:col>
                    <xdr:colOff>38100</xdr:colOff>
                    <xdr:row>23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25</xdr:row>
                    <xdr:rowOff>25400</xdr:rowOff>
                  </from>
                  <to>
                    <xdr:col>1</xdr:col>
                    <xdr:colOff>38100</xdr:colOff>
                    <xdr:row>25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25400</xdr:rowOff>
                  </from>
                  <to>
                    <xdr:col>1</xdr:col>
                    <xdr:colOff>38100</xdr:colOff>
                    <xdr:row>25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26</xdr:row>
                    <xdr:rowOff>25400</xdr:rowOff>
                  </from>
                  <to>
                    <xdr:col>1</xdr:col>
                    <xdr:colOff>38100</xdr:colOff>
                    <xdr:row>26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0</xdr:col>
                    <xdr:colOff>0</xdr:colOff>
                    <xdr:row>26</xdr:row>
                    <xdr:rowOff>25400</xdr:rowOff>
                  </from>
                  <to>
                    <xdr:col>1</xdr:col>
                    <xdr:colOff>38100</xdr:colOff>
                    <xdr:row>26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27</xdr:row>
                    <xdr:rowOff>25400</xdr:rowOff>
                  </from>
                  <to>
                    <xdr:col>1</xdr:col>
                    <xdr:colOff>38100</xdr:colOff>
                    <xdr:row>27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25400</xdr:rowOff>
                  </from>
                  <to>
                    <xdr:col>1</xdr:col>
                    <xdr:colOff>38100</xdr:colOff>
                    <xdr:row>27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28</xdr:row>
                    <xdr:rowOff>25400</xdr:rowOff>
                  </from>
                  <to>
                    <xdr:col>1</xdr:col>
                    <xdr:colOff>38100</xdr:colOff>
                    <xdr:row>28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0</xdr:col>
                    <xdr:colOff>0</xdr:colOff>
                    <xdr:row>28</xdr:row>
                    <xdr:rowOff>25400</xdr:rowOff>
                  </from>
                  <to>
                    <xdr:col>1</xdr:col>
                    <xdr:colOff>38100</xdr:colOff>
                    <xdr:row>28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29</xdr:row>
                    <xdr:rowOff>25400</xdr:rowOff>
                  </from>
                  <to>
                    <xdr:col>1</xdr:col>
                    <xdr:colOff>38100</xdr:colOff>
                    <xdr:row>29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25400</xdr:rowOff>
                  </from>
                  <to>
                    <xdr:col>1</xdr:col>
                    <xdr:colOff>38100</xdr:colOff>
                    <xdr:row>29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46</xdr:row>
                    <xdr:rowOff>25400</xdr:rowOff>
                  </from>
                  <to>
                    <xdr:col>1</xdr:col>
                    <xdr:colOff>38100</xdr:colOff>
                    <xdr:row>46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0</xdr:col>
                    <xdr:colOff>0</xdr:colOff>
                    <xdr:row>46</xdr:row>
                    <xdr:rowOff>25400</xdr:rowOff>
                  </from>
                  <to>
                    <xdr:col>1</xdr:col>
                    <xdr:colOff>38100</xdr:colOff>
                    <xdr:row>46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26</xdr:row>
                    <xdr:rowOff>25400</xdr:rowOff>
                  </from>
                  <to>
                    <xdr:col>1</xdr:col>
                    <xdr:colOff>38100</xdr:colOff>
                    <xdr:row>26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0</xdr:col>
                    <xdr:colOff>0</xdr:colOff>
                    <xdr:row>26</xdr:row>
                    <xdr:rowOff>25400</xdr:rowOff>
                  </from>
                  <to>
                    <xdr:col>1</xdr:col>
                    <xdr:colOff>38100</xdr:colOff>
                    <xdr:row>26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27</xdr:row>
                    <xdr:rowOff>25400</xdr:rowOff>
                  </from>
                  <to>
                    <xdr:col>1</xdr:col>
                    <xdr:colOff>38100</xdr:colOff>
                    <xdr:row>27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25400</xdr:rowOff>
                  </from>
                  <to>
                    <xdr:col>1</xdr:col>
                    <xdr:colOff>38100</xdr:colOff>
                    <xdr:row>27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39</xdr:row>
                    <xdr:rowOff>25400</xdr:rowOff>
                  </from>
                  <to>
                    <xdr:col>1</xdr:col>
                    <xdr:colOff>38100</xdr:colOff>
                    <xdr:row>39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25400</xdr:rowOff>
                  </from>
                  <to>
                    <xdr:col>1</xdr:col>
                    <xdr:colOff>38100</xdr:colOff>
                    <xdr:row>39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40</xdr:row>
                    <xdr:rowOff>25400</xdr:rowOff>
                  </from>
                  <to>
                    <xdr:col>1</xdr:col>
                    <xdr:colOff>38100</xdr:colOff>
                    <xdr:row>40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0</xdr:col>
                    <xdr:colOff>0</xdr:colOff>
                    <xdr:row>40</xdr:row>
                    <xdr:rowOff>25400</xdr:rowOff>
                  </from>
                  <to>
                    <xdr:col>1</xdr:col>
                    <xdr:colOff>38100</xdr:colOff>
                    <xdr:row>40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36</xdr:row>
                    <xdr:rowOff>25400</xdr:rowOff>
                  </from>
                  <to>
                    <xdr:col>1</xdr:col>
                    <xdr:colOff>38100</xdr:colOff>
                    <xdr:row>36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0</xdr:col>
                    <xdr:colOff>0</xdr:colOff>
                    <xdr:row>36</xdr:row>
                    <xdr:rowOff>25400</xdr:rowOff>
                  </from>
                  <to>
                    <xdr:col>1</xdr:col>
                    <xdr:colOff>38100</xdr:colOff>
                    <xdr:row>36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37</xdr:row>
                    <xdr:rowOff>25400</xdr:rowOff>
                  </from>
                  <to>
                    <xdr:col>1</xdr:col>
                    <xdr:colOff>38100</xdr:colOff>
                    <xdr:row>37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25400</xdr:rowOff>
                  </from>
                  <to>
                    <xdr:col>1</xdr:col>
                    <xdr:colOff>38100</xdr:colOff>
                    <xdr:row>37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22</xdr:row>
                    <xdr:rowOff>25400</xdr:rowOff>
                  </from>
                  <to>
                    <xdr:col>1</xdr:col>
                    <xdr:colOff>38100</xdr:colOff>
                    <xdr:row>22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0</xdr:col>
                    <xdr:colOff>0</xdr:colOff>
                    <xdr:row>22</xdr:row>
                    <xdr:rowOff>25400</xdr:rowOff>
                  </from>
                  <to>
                    <xdr:col>1</xdr:col>
                    <xdr:colOff>38100</xdr:colOff>
                    <xdr:row>22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41</xdr:row>
                    <xdr:rowOff>25400</xdr:rowOff>
                  </from>
                  <to>
                    <xdr:col>1</xdr:col>
                    <xdr:colOff>38100</xdr:colOff>
                    <xdr:row>41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25400</xdr:rowOff>
                  </from>
                  <to>
                    <xdr:col>1</xdr:col>
                    <xdr:colOff>38100</xdr:colOff>
                    <xdr:row>41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31</xdr:row>
                    <xdr:rowOff>25400</xdr:rowOff>
                  </from>
                  <to>
                    <xdr:col>1</xdr:col>
                    <xdr:colOff>38100</xdr:colOff>
                    <xdr:row>31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25400</xdr:rowOff>
                  </from>
                  <to>
                    <xdr:col>1</xdr:col>
                    <xdr:colOff>38100</xdr:colOff>
                    <xdr:row>31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28</xdr:row>
                    <xdr:rowOff>25400</xdr:rowOff>
                  </from>
                  <to>
                    <xdr:col>1</xdr:col>
                    <xdr:colOff>38100</xdr:colOff>
                    <xdr:row>28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0</xdr:col>
                    <xdr:colOff>0</xdr:colOff>
                    <xdr:row>28</xdr:row>
                    <xdr:rowOff>25400</xdr:rowOff>
                  </from>
                  <to>
                    <xdr:col>1</xdr:col>
                    <xdr:colOff>38100</xdr:colOff>
                    <xdr:row>28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29</xdr:row>
                    <xdr:rowOff>25400</xdr:rowOff>
                  </from>
                  <to>
                    <xdr:col>1</xdr:col>
                    <xdr:colOff>38100</xdr:colOff>
                    <xdr:row>29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25400</xdr:rowOff>
                  </from>
                  <to>
                    <xdr:col>1</xdr:col>
                    <xdr:colOff>38100</xdr:colOff>
                    <xdr:row>29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42</xdr:row>
                    <xdr:rowOff>25400</xdr:rowOff>
                  </from>
                  <to>
                    <xdr:col>1</xdr:col>
                    <xdr:colOff>38100</xdr:colOff>
                    <xdr:row>42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0</xdr:col>
                    <xdr:colOff>0</xdr:colOff>
                    <xdr:row>42</xdr:row>
                    <xdr:rowOff>25400</xdr:rowOff>
                  </from>
                  <to>
                    <xdr:col>1</xdr:col>
                    <xdr:colOff>38100</xdr:colOff>
                    <xdr:row>42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30</xdr:row>
                    <xdr:rowOff>25400</xdr:rowOff>
                  </from>
                  <to>
                    <xdr:col>1</xdr:col>
                    <xdr:colOff>38100</xdr:colOff>
                    <xdr:row>30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0</xdr:col>
                    <xdr:colOff>0</xdr:colOff>
                    <xdr:row>30</xdr:row>
                    <xdr:rowOff>25400</xdr:rowOff>
                  </from>
                  <to>
                    <xdr:col>1</xdr:col>
                    <xdr:colOff>38100</xdr:colOff>
                    <xdr:row>30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44</xdr:row>
                    <xdr:rowOff>25400</xdr:rowOff>
                  </from>
                  <to>
                    <xdr:col>1</xdr:col>
                    <xdr:colOff>38100</xdr:colOff>
                    <xdr:row>44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0</xdr:col>
                    <xdr:colOff>0</xdr:colOff>
                    <xdr:row>44</xdr:row>
                    <xdr:rowOff>25400</xdr:rowOff>
                  </from>
                  <to>
                    <xdr:col>1</xdr:col>
                    <xdr:colOff>38100</xdr:colOff>
                    <xdr:row>44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23</xdr:row>
                    <xdr:rowOff>25400</xdr:rowOff>
                  </from>
                  <to>
                    <xdr:col>1</xdr:col>
                    <xdr:colOff>38100</xdr:colOff>
                    <xdr:row>23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25400</xdr:rowOff>
                  </from>
                  <to>
                    <xdr:col>1</xdr:col>
                    <xdr:colOff>38100</xdr:colOff>
                    <xdr:row>23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46</xdr:row>
                    <xdr:rowOff>25400</xdr:rowOff>
                  </from>
                  <to>
                    <xdr:col>1</xdr:col>
                    <xdr:colOff>38100</xdr:colOff>
                    <xdr:row>46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0</xdr:col>
                    <xdr:colOff>0</xdr:colOff>
                    <xdr:row>46</xdr:row>
                    <xdr:rowOff>25400</xdr:rowOff>
                  </from>
                  <to>
                    <xdr:col>1</xdr:col>
                    <xdr:colOff>38100</xdr:colOff>
                    <xdr:row>46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47</xdr:row>
                    <xdr:rowOff>25400</xdr:rowOff>
                  </from>
                  <to>
                    <xdr:col>1</xdr:col>
                    <xdr:colOff>38100</xdr:colOff>
                    <xdr:row>47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0</xdr:col>
                    <xdr:colOff>0</xdr:colOff>
                    <xdr:row>47</xdr:row>
                    <xdr:rowOff>25400</xdr:rowOff>
                  </from>
                  <to>
                    <xdr:col>1</xdr:col>
                    <xdr:colOff>38100</xdr:colOff>
                    <xdr:row>47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48</xdr:row>
                    <xdr:rowOff>25400</xdr:rowOff>
                  </from>
                  <to>
                    <xdr:col>1</xdr:col>
                    <xdr:colOff>38100</xdr:colOff>
                    <xdr:row>48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0</xdr:col>
                    <xdr:colOff>0</xdr:colOff>
                    <xdr:row>48</xdr:row>
                    <xdr:rowOff>25400</xdr:rowOff>
                  </from>
                  <to>
                    <xdr:col>1</xdr:col>
                    <xdr:colOff>38100</xdr:colOff>
                    <xdr:row>48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49</xdr:row>
                    <xdr:rowOff>25400</xdr:rowOff>
                  </from>
                  <to>
                    <xdr:col>1</xdr:col>
                    <xdr:colOff>38100</xdr:colOff>
                    <xdr:row>49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0</xdr:col>
                    <xdr:colOff>0</xdr:colOff>
                    <xdr:row>49</xdr:row>
                    <xdr:rowOff>25400</xdr:rowOff>
                  </from>
                  <to>
                    <xdr:col>1</xdr:col>
                    <xdr:colOff>38100</xdr:colOff>
                    <xdr:row>49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50</xdr:row>
                    <xdr:rowOff>25400</xdr:rowOff>
                  </from>
                  <to>
                    <xdr:col>1</xdr:col>
                    <xdr:colOff>38100</xdr:colOff>
                    <xdr:row>50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0</xdr:col>
                    <xdr:colOff>0</xdr:colOff>
                    <xdr:row>50</xdr:row>
                    <xdr:rowOff>25400</xdr:rowOff>
                  </from>
                  <to>
                    <xdr:col>1</xdr:col>
                    <xdr:colOff>38100</xdr:colOff>
                    <xdr:row>50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43</xdr:row>
                    <xdr:rowOff>25400</xdr:rowOff>
                  </from>
                  <to>
                    <xdr:col>1</xdr:col>
                    <xdr:colOff>38100</xdr:colOff>
                    <xdr:row>43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25400</xdr:rowOff>
                  </from>
                  <to>
                    <xdr:col>1</xdr:col>
                    <xdr:colOff>38100</xdr:colOff>
                    <xdr:row>43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44</xdr:row>
                    <xdr:rowOff>25400</xdr:rowOff>
                  </from>
                  <to>
                    <xdr:col>1</xdr:col>
                    <xdr:colOff>38100</xdr:colOff>
                    <xdr:row>44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0</xdr:col>
                    <xdr:colOff>0</xdr:colOff>
                    <xdr:row>44</xdr:row>
                    <xdr:rowOff>25400</xdr:rowOff>
                  </from>
                  <to>
                    <xdr:col>1</xdr:col>
                    <xdr:colOff>38100</xdr:colOff>
                    <xdr:row>44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53</xdr:row>
                    <xdr:rowOff>25400</xdr:rowOff>
                  </from>
                  <to>
                    <xdr:col>1</xdr:col>
                    <xdr:colOff>38100</xdr:colOff>
                    <xdr:row>53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0</xdr:col>
                    <xdr:colOff>0</xdr:colOff>
                    <xdr:row>53</xdr:row>
                    <xdr:rowOff>25400</xdr:rowOff>
                  </from>
                  <to>
                    <xdr:col>1</xdr:col>
                    <xdr:colOff>38100</xdr:colOff>
                    <xdr:row>53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56</xdr:row>
                    <xdr:rowOff>25400</xdr:rowOff>
                  </from>
                  <to>
                    <xdr:col>1</xdr:col>
                    <xdr:colOff>38100</xdr:colOff>
                    <xdr:row>56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56</xdr:row>
                    <xdr:rowOff>25400</xdr:rowOff>
                  </from>
                  <to>
                    <xdr:col>1</xdr:col>
                    <xdr:colOff>38100</xdr:colOff>
                    <xdr:row>56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56</xdr:row>
                    <xdr:rowOff>25400</xdr:rowOff>
                  </from>
                  <to>
                    <xdr:col>1</xdr:col>
                    <xdr:colOff>38100</xdr:colOff>
                    <xdr:row>56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25400</xdr:rowOff>
                  </from>
                  <to>
                    <xdr:col>1</xdr:col>
                    <xdr:colOff>38100</xdr:colOff>
                    <xdr:row>56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57</xdr:row>
                    <xdr:rowOff>25400</xdr:rowOff>
                  </from>
                  <to>
                    <xdr:col>1</xdr:col>
                    <xdr:colOff>38100</xdr:colOff>
                    <xdr:row>57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0</xdr:col>
                    <xdr:colOff>0</xdr:colOff>
                    <xdr:row>57</xdr:row>
                    <xdr:rowOff>25400</xdr:rowOff>
                  </from>
                  <to>
                    <xdr:col>1</xdr:col>
                    <xdr:colOff>38100</xdr:colOff>
                    <xdr:row>57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58</xdr:row>
                    <xdr:rowOff>25400</xdr:rowOff>
                  </from>
                  <to>
                    <xdr:col>1</xdr:col>
                    <xdr:colOff>38100</xdr:colOff>
                    <xdr:row>58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25400</xdr:rowOff>
                  </from>
                  <to>
                    <xdr:col>1</xdr:col>
                    <xdr:colOff>38100</xdr:colOff>
                    <xdr:row>58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59</xdr:row>
                    <xdr:rowOff>25400</xdr:rowOff>
                  </from>
                  <to>
                    <xdr:col>1</xdr:col>
                    <xdr:colOff>38100</xdr:colOff>
                    <xdr:row>59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0</xdr:col>
                    <xdr:colOff>0</xdr:colOff>
                    <xdr:row>59</xdr:row>
                    <xdr:rowOff>25400</xdr:rowOff>
                  </from>
                  <to>
                    <xdr:col>1</xdr:col>
                    <xdr:colOff>38100</xdr:colOff>
                    <xdr:row>59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60</xdr:row>
                    <xdr:rowOff>25400</xdr:rowOff>
                  </from>
                  <to>
                    <xdr:col>1</xdr:col>
                    <xdr:colOff>38100</xdr:colOff>
                    <xdr:row>60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0</xdr:col>
                    <xdr:colOff>0</xdr:colOff>
                    <xdr:row>60</xdr:row>
                    <xdr:rowOff>25400</xdr:rowOff>
                  </from>
                  <to>
                    <xdr:col>1</xdr:col>
                    <xdr:colOff>38100</xdr:colOff>
                    <xdr:row>60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Check Box 9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61</xdr:row>
                    <xdr:rowOff>25400</xdr:rowOff>
                  </from>
                  <to>
                    <xdr:col>1</xdr:col>
                    <xdr:colOff>38100</xdr:colOff>
                    <xdr:row>61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Check Box 98">
              <controlPr defaultSize="0" autoFill="0" autoLine="0" autoPict="0">
                <anchor moveWithCells="1">
                  <from>
                    <xdr:col>0</xdr:col>
                    <xdr:colOff>0</xdr:colOff>
                    <xdr:row>61</xdr:row>
                    <xdr:rowOff>25400</xdr:rowOff>
                  </from>
                  <to>
                    <xdr:col>1</xdr:col>
                    <xdr:colOff>38100</xdr:colOff>
                    <xdr:row>61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Check Box 9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62</xdr:row>
                    <xdr:rowOff>25400</xdr:rowOff>
                  </from>
                  <to>
                    <xdr:col>1</xdr:col>
                    <xdr:colOff>38100</xdr:colOff>
                    <xdr:row>62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Check Box 100">
              <controlPr defaultSize="0" autoFill="0" autoLine="0" autoPict="0">
                <anchor moveWithCells="1">
                  <from>
                    <xdr:col>0</xdr:col>
                    <xdr:colOff>0</xdr:colOff>
                    <xdr:row>62</xdr:row>
                    <xdr:rowOff>25400</xdr:rowOff>
                  </from>
                  <to>
                    <xdr:col>1</xdr:col>
                    <xdr:colOff>38100</xdr:colOff>
                    <xdr:row>62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Check Box 10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63</xdr:row>
                    <xdr:rowOff>25400</xdr:rowOff>
                  </from>
                  <to>
                    <xdr:col>1</xdr:col>
                    <xdr:colOff>38100</xdr:colOff>
                    <xdr:row>63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Check Box 102">
              <controlPr defaultSize="0" autoFill="0" autoLine="0" autoPict="0">
                <anchor moveWithCells="1">
                  <from>
                    <xdr:col>0</xdr:col>
                    <xdr:colOff>0</xdr:colOff>
                    <xdr:row>63</xdr:row>
                    <xdr:rowOff>25400</xdr:rowOff>
                  </from>
                  <to>
                    <xdr:col>1</xdr:col>
                    <xdr:colOff>38100</xdr:colOff>
                    <xdr:row>63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Check Box 10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65</xdr:row>
                    <xdr:rowOff>25400</xdr:rowOff>
                  </from>
                  <to>
                    <xdr:col>1</xdr:col>
                    <xdr:colOff>38100</xdr:colOff>
                    <xdr:row>65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Check Box 104">
              <controlPr defaultSize="0" autoFill="0" autoLine="0" autoPict="0">
                <anchor moveWithCells="1">
                  <from>
                    <xdr:col>0</xdr:col>
                    <xdr:colOff>0</xdr:colOff>
                    <xdr:row>65</xdr:row>
                    <xdr:rowOff>25400</xdr:rowOff>
                  </from>
                  <to>
                    <xdr:col>1</xdr:col>
                    <xdr:colOff>38100</xdr:colOff>
                    <xdr:row>65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Check Box 10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68</xdr:row>
                    <xdr:rowOff>25400</xdr:rowOff>
                  </from>
                  <to>
                    <xdr:col>1</xdr:col>
                    <xdr:colOff>38100</xdr:colOff>
                    <xdr:row>68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9" name="Check Box 106">
              <controlPr defaultSize="0" autoFill="0" autoLine="0" autoPict="0">
                <anchor moveWithCells="1">
                  <from>
                    <xdr:col>0</xdr:col>
                    <xdr:colOff>0</xdr:colOff>
                    <xdr:row>68</xdr:row>
                    <xdr:rowOff>25400</xdr:rowOff>
                  </from>
                  <to>
                    <xdr:col>1</xdr:col>
                    <xdr:colOff>38100</xdr:colOff>
                    <xdr:row>68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0" name="Check Box 10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69</xdr:row>
                    <xdr:rowOff>25400</xdr:rowOff>
                  </from>
                  <to>
                    <xdr:col>1</xdr:col>
                    <xdr:colOff>38100</xdr:colOff>
                    <xdr:row>69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1" name="Check Box 108">
              <controlPr defaultSize="0" autoFill="0" autoLine="0" autoPict="0">
                <anchor moveWithCells="1">
                  <from>
                    <xdr:col>0</xdr:col>
                    <xdr:colOff>0</xdr:colOff>
                    <xdr:row>69</xdr:row>
                    <xdr:rowOff>25400</xdr:rowOff>
                  </from>
                  <to>
                    <xdr:col>1</xdr:col>
                    <xdr:colOff>38100</xdr:colOff>
                    <xdr:row>69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2" name="Check Box 10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70</xdr:row>
                    <xdr:rowOff>25400</xdr:rowOff>
                  </from>
                  <to>
                    <xdr:col>1</xdr:col>
                    <xdr:colOff>38100</xdr:colOff>
                    <xdr:row>70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3" name="Check Box 110">
              <controlPr defaultSize="0" autoFill="0" autoLine="0" autoPict="0">
                <anchor moveWithCells="1">
                  <from>
                    <xdr:col>0</xdr:col>
                    <xdr:colOff>0</xdr:colOff>
                    <xdr:row>70</xdr:row>
                    <xdr:rowOff>25400</xdr:rowOff>
                  </from>
                  <to>
                    <xdr:col>1</xdr:col>
                    <xdr:colOff>38100</xdr:colOff>
                    <xdr:row>70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4" name="Check Box 11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71</xdr:row>
                    <xdr:rowOff>25400</xdr:rowOff>
                  </from>
                  <to>
                    <xdr:col>1</xdr:col>
                    <xdr:colOff>38100</xdr:colOff>
                    <xdr:row>71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5" name="Check Box 112">
              <controlPr defaultSize="0" autoFill="0" autoLine="0" autoPict="0">
                <anchor moveWithCells="1">
                  <from>
                    <xdr:col>0</xdr:col>
                    <xdr:colOff>0</xdr:colOff>
                    <xdr:row>71</xdr:row>
                    <xdr:rowOff>25400</xdr:rowOff>
                  </from>
                  <to>
                    <xdr:col>1</xdr:col>
                    <xdr:colOff>38100</xdr:colOff>
                    <xdr:row>71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6" name="Check Box 11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72</xdr:row>
                    <xdr:rowOff>25400</xdr:rowOff>
                  </from>
                  <to>
                    <xdr:col>1</xdr:col>
                    <xdr:colOff>38100</xdr:colOff>
                    <xdr:row>72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7" name="Check Box 114">
              <controlPr defaultSize="0" autoFill="0" autoLine="0" autoPict="0">
                <anchor moveWithCells="1">
                  <from>
                    <xdr:col>0</xdr:col>
                    <xdr:colOff>0</xdr:colOff>
                    <xdr:row>72</xdr:row>
                    <xdr:rowOff>25400</xdr:rowOff>
                  </from>
                  <to>
                    <xdr:col>1</xdr:col>
                    <xdr:colOff>38100</xdr:colOff>
                    <xdr:row>72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8" name="Check Box 11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3</xdr:row>
                    <xdr:rowOff>25400</xdr:rowOff>
                  </from>
                  <to>
                    <xdr:col>1</xdr:col>
                    <xdr:colOff>50800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9" name="Check Box 116">
              <controlPr defaultSize="0" autoFill="0" autoLine="0" autoPict="0">
                <anchor moveWithCells="1">
                  <from>
                    <xdr:col>0</xdr:col>
                    <xdr:colOff>0</xdr:colOff>
                    <xdr:row>64</xdr:row>
                    <xdr:rowOff>25400</xdr:rowOff>
                  </from>
                  <to>
                    <xdr:col>1</xdr:col>
                    <xdr:colOff>38100</xdr:colOff>
                    <xdr:row>64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0" name="Check Box 11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64</xdr:row>
                    <xdr:rowOff>25400</xdr:rowOff>
                  </from>
                  <to>
                    <xdr:col>1</xdr:col>
                    <xdr:colOff>38100</xdr:colOff>
                    <xdr:row>64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1" name="Check Box 118">
              <controlPr defaultSize="0" autoFill="0" autoLine="0" autoPict="0">
                <anchor moveWithCells="1">
                  <from>
                    <xdr:col>0</xdr:col>
                    <xdr:colOff>0</xdr:colOff>
                    <xdr:row>64</xdr:row>
                    <xdr:rowOff>25400</xdr:rowOff>
                  </from>
                  <to>
                    <xdr:col>1</xdr:col>
                    <xdr:colOff>38100</xdr:colOff>
                    <xdr:row>64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2" name="Check Box 120">
              <controlPr defaultSize="0" autoFill="0" autoLine="0" autoPict="0">
                <anchor moveWithCells="1">
                  <from>
                    <xdr:col>0</xdr:col>
                    <xdr:colOff>0</xdr:colOff>
                    <xdr:row>11</xdr:row>
                    <xdr:rowOff>25400</xdr:rowOff>
                  </from>
                  <to>
                    <xdr:col>1</xdr:col>
                    <xdr:colOff>38100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3" name="Check Box 121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25400</xdr:rowOff>
                  </from>
                  <to>
                    <xdr:col>1</xdr:col>
                    <xdr:colOff>38100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4" name="Check Box 123">
              <controlPr defaultSize="0" autoFill="0" autoLine="0" autoPict="0">
                <anchor moveWithCells="1">
                  <from>
                    <xdr:col>0</xdr:col>
                    <xdr:colOff>0</xdr:colOff>
                    <xdr:row>10</xdr:row>
                    <xdr:rowOff>25400</xdr:rowOff>
                  </from>
                  <to>
                    <xdr:col>1</xdr:col>
                    <xdr:colOff>38100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5" name="Check Box 124">
              <controlPr defaultSize="0" autoFill="0" autoLine="0" autoPict="0">
                <anchor moveWithCells="1">
                  <from>
                    <xdr:col>0</xdr:col>
                    <xdr:colOff>0</xdr:colOff>
                    <xdr:row>11</xdr:row>
                    <xdr:rowOff>25400</xdr:rowOff>
                  </from>
                  <to>
                    <xdr:col>1</xdr:col>
                    <xdr:colOff>38100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6" name="Check Box 125">
              <controlPr defaultSize="0" autoFill="0" autoLine="0" autoPict="0">
                <anchor moveWithCells="1">
                  <from>
                    <xdr:col>0</xdr:col>
                    <xdr:colOff>0</xdr:colOff>
                    <xdr:row>8</xdr:row>
                    <xdr:rowOff>25400</xdr:rowOff>
                  </from>
                  <to>
                    <xdr:col>1</xdr:col>
                    <xdr:colOff>38100</xdr:colOff>
                    <xdr:row>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7" name="Check Box 127">
              <controlPr defaultSize="0" autoFill="0" autoLine="0" autoPict="0">
                <anchor moveWithCells="1">
                  <from>
                    <xdr:col>0</xdr:col>
                    <xdr:colOff>0</xdr:colOff>
                    <xdr:row>7</xdr:row>
                    <xdr:rowOff>25400</xdr:rowOff>
                  </from>
                  <to>
                    <xdr:col>1</xdr:col>
                    <xdr:colOff>38100</xdr:colOff>
                    <xdr:row>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8" name="Check Box 128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7</xdr:row>
                    <xdr:rowOff>25400</xdr:rowOff>
                  </from>
                  <to>
                    <xdr:col>1</xdr:col>
                    <xdr:colOff>38100</xdr:colOff>
                    <xdr:row>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9" name="Check Box 129">
              <controlPr defaultSize="0" autoFill="0" autoLine="0" autoPict="0">
                <anchor moveWithCells="1">
                  <from>
                    <xdr:col>0</xdr:col>
                    <xdr:colOff>0</xdr:colOff>
                    <xdr:row>7</xdr:row>
                    <xdr:rowOff>25400</xdr:rowOff>
                  </from>
                  <to>
                    <xdr:col>1</xdr:col>
                    <xdr:colOff>38100</xdr:colOff>
                    <xdr:row>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0" name="Check Box 130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8</xdr:row>
                    <xdr:rowOff>25400</xdr:rowOff>
                  </from>
                  <to>
                    <xdr:col>1</xdr:col>
                    <xdr:colOff>38100</xdr:colOff>
                    <xdr:row>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1" name="Check Box 131">
              <controlPr defaultSize="0" autoFill="0" autoLine="0" autoPict="0">
                <anchor moveWithCells="1">
                  <from>
                    <xdr:col>0</xdr:col>
                    <xdr:colOff>0</xdr:colOff>
                    <xdr:row>8</xdr:row>
                    <xdr:rowOff>25400</xdr:rowOff>
                  </from>
                  <to>
                    <xdr:col>1</xdr:col>
                    <xdr:colOff>38100</xdr:colOff>
                    <xdr:row>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2" name="Check Box 132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9</xdr:row>
                    <xdr:rowOff>25400</xdr:rowOff>
                  </from>
                  <to>
                    <xdr:col>1</xdr:col>
                    <xdr:colOff>38100</xdr:colOff>
                    <xdr:row>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3" name="Check Box 133">
              <controlPr defaultSize="0" autoFill="0" autoLine="0" autoPict="0">
                <anchor moveWithCells="1">
                  <from>
                    <xdr:col>0</xdr:col>
                    <xdr:colOff>0</xdr:colOff>
                    <xdr:row>9</xdr:row>
                    <xdr:rowOff>25400</xdr:rowOff>
                  </from>
                  <to>
                    <xdr:col>1</xdr:col>
                    <xdr:colOff>38100</xdr:colOff>
                    <xdr:row>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4" name="Check Box 13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3</xdr:row>
                    <xdr:rowOff>25400</xdr:rowOff>
                  </from>
                  <to>
                    <xdr:col>1</xdr:col>
                    <xdr:colOff>50800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5" name="Check Box 135">
              <controlPr defaultSize="0" autoFill="0" autoLine="0" autoPict="0">
                <anchor moveWithCells="1">
                  <from>
                    <xdr:col>0</xdr:col>
                    <xdr:colOff>0</xdr:colOff>
                    <xdr:row>24</xdr:row>
                    <xdr:rowOff>25400</xdr:rowOff>
                  </from>
                  <to>
                    <xdr:col>1</xdr:col>
                    <xdr:colOff>38100</xdr:colOff>
                    <xdr:row>24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6" name="Check Box 137">
              <controlPr defaultSize="0" autoFill="0" autoLine="0" autoPict="0">
                <anchor moveWithCells="1">
                  <from>
                    <xdr:col>0</xdr:col>
                    <xdr:colOff>0</xdr:colOff>
                    <xdr:row>32</xdr:row>
                    <xdr:rowOff>25400</xdr:rowOff>
                  </from>
                  <to>
                    <xdr:col>1</xdr:col>
                    <xdr:colOff>38100</xdr:colOff>
                    <xdr:row>32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7" name="Check Box 138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25400</xdr:rowOff>
                  </from>
                  <to>
                    <xdr:col>1</xdr:col>
                    <xdr:colOff>38100</xdr:colOff>
                    <xdr:row>33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38" name="Check Box 139">
              <controlPr defaultSize="0" autoFill="0" autoLine="0" autoPict="0">
                <anchor moveWithCells="1">
                  <from>
                    <xdr:col>0</xdr:col>
                    <xdr:colOff>0</xdr:colOff>
                    <xdr:row>34</xdr:row>
                    <xdr:rowOff>25400</xdr:rowOff>
                  </from>
                  <to>
                    <xdr:col>1</xdr:col>
                    <xdr:colOff>38100</xdr:colOff>
                    <xdr:row>34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39" name="Check Box 140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25400</xdr:rowOff>
                  </from>
                  <to>
                    <xdr:col>1</xdr:col>
                    <xdr:colOff>38100</xdr:colOff>
                    <xdr:row>35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0" name="Check Box 141">
              <controlPr defaultSize="0" autoFill="0" autoLine="0" autoPict="0">
                <anchor moveWithCells="1">
                  <from>
                    <xdr:col>0</xdr:col>
                    <xdr:colOff>0</xdr:colOff>
                    <xdr:row>38</xdr:row>
                    <xdr:rowOff>25400</xdr:rowOff>
                  </from>
                  <to>
                    <xdr:col>1</xdr:col>
                    <xdr:colOff>38100</xdr:colOff>
                    <xdr:row>38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1" name="Check Box 142">
              <controlPr defaultSize="0" autoFill="0" autoLine="0" autoPict="0">
                <anchor moveWithCells="1">
                  <from>
                    <xdr:col>0</xdr:col>
                    <xdr:colOff>0</xdr:colOff>
                    <xdr:row>72</xdr:row>
                    <xdr:rowOff>25400</xdr:rowOff>
                  </from>
                  <to>
                    <xdr:col>1</xdr:col>
                    <xdr:colOff>38100</xdr:colOff>
                    <xdr:row>72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2" name="Check Box 144">
              <controlPr defaultSize="0" autoFill="0" autoLine="0" autoPict="0">
                <anchor moveWithCells="1">
                  <from>
                    <xdr:col>0</xdr:col>
                    <xdr:colOff>0</xdr:colOff>
                    <xdr:row>45</xdr:row>
                    <xdr:rowOff>25400</xdr:rowOff>
                  </from>
                  <to>
                    <xdr:col>1</xdr:col>
                    <xdr:colOff>38100</xdr:colOff>
                    <xdr:row>45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3" name="Check Box 146">
              <controlPr defaultSize="0" autoFill="0" autoLine="0" autoPict="0">
                <anchor moveWithCells="1">
                  <from>
                    <xdr:col>0</xdr:col>
                    <xdr:colOff>0</xdr:colOff>
                    <xdr:row>51</xdr:row>
                    <xdr:rowOff>25400</xdr:rowOff>
                  </from>
                  <to>
                    <xdr:col>1</xdr:col>
                    <xdr:colOff>38100</xdr:colOff>
                    <xdr:row>51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4" name="Check Box 147">
              <controlPr defaultSize="0" autoFill="0" autoLine="0" autoPict="0">
                <anchor moveWithCells="1">
                  <from>
                    <xdr:col>0</xdr:col>
                    <xdr:colOff>0</xdr:colOff>
                    <xdr:row>52</xdr:row>
                    <xdr:rowOff>25400</xdr:rowOff>
                  </from>
                  <to>
                    <xdr:col>1</xdr:col>
                    <xdr:colOff>38100</xdr:colOff>
                    <xdr:row>52</xdr:row>
                    <xdr:rowOff>165100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Hamlet Tarbinian</dc:creator>
  <cp:lastModifiedBy>Brunsell, Jakob M C2C USAF USAFA CW/CS09</cp:lastModifiedBy>
  <cp:lastPrinted>2024-08-29T19:32:21Z</cp:lastPrinted>
  <dcterms:created xsi:type="dcterms:W3CDTF">2022-12-27T17:05:06Z</dcterms:created>
  <dcterms:modified xsi:type="dcterms:W3CDTF">2025-10-06T20:09:35Z</dcterms:modified>
</cp:coreProperties>
</file>