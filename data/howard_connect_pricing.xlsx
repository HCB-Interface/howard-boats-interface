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cury Kit BOM" sheetId="1" state="visible" r:id="rId3"/>
    <sheet name="Teague Kit BOM" sheetId="2" state="visible" r:id="rId4"/>
    <sheet name="Pricing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Howard</author>
  </authors>
  <commentList>
    <comment ref="F15" authorId="0">
      <text>
        <r>
          <rPr>
            <sz val="10"/>
            <rFont val="Arial"/>
            <family val="2"/>
          </rPr>
          <t xml:space="preserve">Low estimate of parts BOM for Mercury kit</t>
        </r>
      </text>
    </comment>
  </commentList>
</comments>
</file>

<file path=xl/sharedStrings.xml><?xml version="1.0" encoding="utf-8"?>
<sst xmlns="http://schemas.openxmlformats.org/spreadsheetml/2006/main" count="144" uniqueCount="124">
  <si>
    <t xml:space="preserve">Howard Connect — Mercury Kit BOM (per boat)</t>
  </si>
  <si>
    <t xml:space="preserve">For Mercury 600 SCI / 400R / 500R hulls. Assumes the boat has VesselView (or VesselView Mobile) decoding SmartCraft. Howard's gateway listens to the NMEA 2000 backbone.</t>
  </si>
  <si>
    <t xml:space="preserve">Component</t>
  </si>
  <si>
    <t xml:space="preserve">Vendor / part example</t>
  </si>
  <si>
    <t xml:space="preserve">Qty</t>
  </si>
  <si>
    <t xml:space="preserve">Unit cost (low)</t>
  </si>
  <si>
    <t xml:space="preserve">Unit cost (high)</t>
  </si>
  <si>
    <t xml:space="preserve">Ext. (low)</t>
  </si>
  <si>
    <t xml:space="preserve">Ext. (high)</t>
  </si>
  <si>
    <t xml:space="preserve">Notes</t>
  </si>
  <si>
    <t xml:space="preserve">Cellular IoT gateway (LTE-M + GPS, NMEA 2000 capable)</t>
  </si>
  <si>
    <t xml:space="preserve">Blues Notecard + NMEA hat / Yacht Devices YDWG-02</t>
  </si>
  <si>
    <t xml:space="preserve">Off-the-shelf module — avoid custom PCB</t>
  </si>
  <si>
    <t xml:space="preserve">NMEA 2000 drop cable + T-connector</t>
  </si>
  <si>
    <t xml:space="preserve">Maretron / Garmin certified</t>
  </si>
  <si>
    <t xml:space="preserve">Backbone already exists on Mercury hulls</t>
  </si>
  <si>
    <t xml:space="preserve">GPS antenna (external)</t>
  </si>
  <si>
    <t xml:space="preserve">Active patch, MMCX</t>
  </si>
  <si>
    <t xml:space="preserve">Some gateways include internal antenna</t>
  </si>
  <si>
    <t xml:space="preserve">Ambient temperature/humidity sensor</t>
  </si>
  <si>
    <t xml:space="preserve">DHT22 or BME280 + leads</t>
  </si>
  <si>
    <t xml:space="preserve">Battery shunt + monitor (dual-bank)</t>
  </si>
  <si>
    <t xml:space="preserve">Victron SmartShunt 500A or equivalent</t>
  </si>
  <si>
    <t xml:space="preserve">Monitors house + start banks</t>
  </si>
  <si>
    <t xml:space="preserve">Bilge water probe</t>
  </si>
  <si>
    <t xml:space="preserve">Capacitive level sensor</t>
  </si>
  <si>
    <t xml:space="preserve">Inline fuse + holder (1A)</t>
  </si>
  <si>
    <t xml:space="preserve">ATM blade, marine grade</t>
  </si>
  <si>
    <t xml:space="preserve">Fire safety — required</t>
  </si>
  <si>
    <t xml:space="preserve">Marine wire harness (16 AWG, tinned)</t>
  </si>
  <si>
    <t xml:space="preserve">Ancor / OEM equivalent</t>
  </si>
  <si>
    <t xml:space="preserve">Enclosure (IP65, ABS)</t>
  </si>
  <si>
    <t xml:space="preserve">Hammond / Polycase</t>
  </si>
  <si>
    <t xml:space="preserve">Mounting hardware, terminals, heat shrink</t>
  </si>
  <si>
    <t xml:space="preserve">Misc</t>
  </si>
  <si>
    <t xml:space="preserve">TOTAL — Mercury Kit (parts only)</t>
  </si>
  <si>
    <t xml:space="preserve">Howard Connect — Teague Kit BOM (per boat)</t>
  </si>
  <si>
    <t xml:space="preserve">For Teague Custom Marine 1050 hulls. Assumes Holley aftermarket EFI is present (current Teague standard). Gateway taps Holley's J1939 CAN output for engine data; Howard adds ambient/safety sensors.</t>
  </si>
  <si>
    <t xml:space="preserve">Cellular IoT gateway (LTE-M + GPS + CAN)</t>
  </si>
  <si>
    <t xml:space="preserve">Blues Notecard + CAN hat / Particle B-Series</t>
  </si>
  <si>
    <t xml:space="preserve">Needs CAN interface for Holley J1939</t>
  </si>
  <si>
    <t xml:space="preserve">Holley CAN output module / J1939 harness</t>
  </si>
  <si>
    <t xml:space="preserve">Holley 558-450 J1939 module (or equivalent)</t>
  </si>
  <si>
    <t xml:space="preserve">Required if not already installed on the engine</t>
  </si>
  <si>
    <t xml:space="preserve">Exhaust gas thermocouple (Type K) + amplifier</t>
  </si>
  <si>
    <t xml:space="preserve">MAX31855 + K-type probes</t>
  </si>
  <si>
    <t xml:space="preserve">Port + stbd manifold tap</t>
  </si>
  <si>
    <t xml:space="preserve">Coolant temp thermocouple</t>
  </si>
  <si>
    <t xml:space="preserve">K-type, 1/4 NPT</t>
  </si>
  <si>
    <t xml:space="preserve">Backup if Holley sender drops out</t>
  </si>
  <si>
    <t xml:space="preserve">Oil pressure sender (0–100 psi, 0.5–4.5V)</t>
  </si>
  <si>
    <t xml:space="preserve">Marine sealed</t>
  </si>
  <si>
    <t xml:space="preserve">Most Holley setups have this — verify per hull</t>
  </si>
  <si>
    <t xml:space="preserve">Victron SmartShunt 500A</t>
  </si>
  <si>
    <t xml:space="preserve">Ambient temp/humidity sensor</t>
  </si>
  <si>
    <t xml:space="preserve">BME280 + leads</t>
  </si>
  <si>
    <t xml:space="preserve">Inline fuses + holders (1A &amp; 5A)</t>
  </si>
  <si>
    <t xml:space="preserve">Ancor</t>
  </si>
  <si>
    <t xml:space="preserve">Longer harness for inboard installs</t>
  </si>
  <si>
    <t xml:space="preserve">Mounting hardware, terminals, heat shrink, sealant</t>
  </si>
  <si>
    <t xml:space="preserve">TOTAL — Teague Kit (parts only)</t>
  </si>
  <si>
    <t xml:space="preserve">Howard Connect — Pricing &amp; Margin Model</t>
  </si>
  <si>
    <t xml:space="preserve">Editable inputs are blue. Formulas are black. Cross-sheet links to BOMs are green. Edit blue cells to test scenarios.</t>
  </si>
  <si>
    <t xml:space="preserve">Hardware cost per boat (parts)</t>
  </si>
  <si>
    <t xml:space="preserve">Mercury kit</t>
  </si>
  <si>
    <t xml:space="preserve">Teague kit</t>
  </si>
  <si>
    <t xml:space="preserve">Parts BOM — low estimate</t>
  </si>
  <si>
    <t xml:space="preserve">Linked from BOM tabs (green = cross-sheet)</t>
  </si>
  <si>
    <t xml:space="preserve">Parts BOM — high estimate</t>
  </si>
  <si>
    <t xml:space="preserve">Parts BOM — midpoint</t>
  </si>
  <si>
    <t xml:space="preserve">Install labor</t>
  </si>
  <si>
    <t xml:space="preserve">Labor hours — Mercury install</t>
  </si>
  <si>
    <t xml:space="preserve">Listening on existing NMEA 2000 — minimal wiring</t>
  </si>
  <si>
    <t xml:space="preserve">Labor hours — Teague install</t>
  </si>
  <si>
    <t xml:space="preserve">Holley CAN tap + sensor install on inboard engine bay</t>
  </si>
  <si>
    <t xml:space="preserve">Howard yard labor rate ($/hr)</t>
  </si>
  <si>
    <t xml:space="preserve">Industry: $120–175 typical for high-end yards</t>
  </si>
  <si>
    <t xml:space="preserve">Labor cost per install</t>
  </si>
  <si>
    <t xml:space="preserve">Total cost per install (Howard cost basis)</t>
  </si>
  <si>
    <t xml:space="preserve">Hardware (midpoint) + labor</t>
  </si>
  <si>
    <t xml:space="preserve">Retail pricing &amp; margin</t>
  </si>
  <si>
    <t xml:space="preserve">Retail install price (Mercury)</t>
  </si>
  <si>
    <t xml:space="preserve">What the customer pays at delivery / retrofit</t>
  </si>
  <si>
    <t xml:space="preserve">Retail install price (Teague)</t>
  </si>
  <si>
    <t xml:space="preserve">Gross margin per install</t>
  </si>
  <si>
    <t xml:space="preserve">Gross margin %</t>
  </si>
  <si>
    <t xml:space="preserve">Subscription economics (per boat per year)</t>
  </si>
  <si>
    <t xml:space="preserve">Annual subscription price (Yr 2+)</t>
  </si>
  <si>
    <t xml:space="preserve">$30/mo equivalent. Yr 1 included with install fee.</t>
  </si>
  <si>
    <t xml:space="preserve">Cellular plan cost per boat/mo</t>
  </si>
  <si>
    <t xml:space="preserve">LTE-M MVNO (Hologram, Soracom, Twilio)</t>
  </si>
  <si>
    <t xml:space="preserve">Cloud + ops cost per boat/mo</t>
  </si>
  <si>
    <t xml:space="preserve">AWS IoT + storage + monitoring (apportioned)</t>
  </si>
  <si>
    <t xml:space="preserve">Total operating cost / boat / yr</t>
  </si>
  <si>
    <t xml:space="preserve">Subscription net margin / boat / yr</t>
  </si>
  <si>
    <t xml:space="preserve">5-year fleet revenue projection (illustrative)</t>
  </si>
  <si>
    <t xml:space="preserve">Howard new builds per year</t>
  </si>
  <si>
    <t xml:space="preserve">Howard's current production rate</t>
  </si>
  <si>
    <t xml:space="preserve">Attach rate on new builds</t>
  </si>
  <si>
    <t xml:space="preserve">% of new owners who buy the connected option</t>
  </si>
  <si>
    <t xml:space="preserve">Existing connected fleet (start of yr 1)</t>
  </si>
  <si>
    <t xml:space="preserve">Retrofit installs per year</t>
  </si>
  <si>
    <t xml:space="preserve">From the hundreds of existing Howard hulls</t>
  </si>
  <si>
    <t xml:space="preserve">Avg retail install price (blended)</t>
  </si>
  <si>
    <t xml:space="preserve">Average of Mercury and Teague retail</t>
  </si>
  <si>
    <t xml:space="preserve">Avg install gross margin (blended)</t>
  </si>
  <si>
    <t xml:space="preserve">Service revenue captured per connected boat / yr</t>
  </si>
  <si>
    <t xml:space="preserve">Service work that comes back to Howard yard because of the platform</t>
  </si>
  <si>
    <t xml:space="preserve">Howard margin on captured service</t>
  </si>
  <si>
    <t xml:space="preserve">% of service revenue that's gross margin</t>
  </si>
  <si>
    <t xml:space="preserve">Year-by-year</t>
  </si>
  <si>
    <t xml:space="preserve">Metric</t>
  </si>
  <si>
    <t xml:space="preserve">Year 1</t>
  </si>
  <si>
    <t xml:space="preserve">Year 3</t>
  </si>
  <si>
    <t xml:space="preserve">Year 5</t>
  </si>
  <si>
    <t xml:space="preserve">New connected (period total)</t>
  </si>
  <si>
    <t xml:space="preserve">Cumulative connected fleet</t>
  </si>
  <si>
    <t xml:space="preserve">Install fee revenue (annual)</t>
  </si>
  <si>
    <t xml:space="preserve">Install gross margin (annual)</t>
  </si>
  <si>
    <t xml:space="preserve">Subscription revenue (annual, on cumulative fleet)</t>
  </si>
  <si>
    <t xml:space="preserve">Subscription net margin (annual)</t>
  </si>
  <si>
    <t xml:space="preserve">Captured service margin (annual)</t>
  </si>
  <si>
    <t xml:space="preserve">TOTAL annual margin (install + sub + service)</t>
  </si>
  <si>
    <t xml:space="preserve">Note: Year 1/3/5 columns show the annual run-rate at that point — they're snapshots, not cumulative dollar totals. Edit blue inputs above to test scenarios.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</si>
</sst>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\$#,##0.00;&quot;($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1"/>
      <color rgb="FF1F3A5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4E5B8"/>
        <bgColor rgb="FFFFCC99"/>
      </patternFill>
    </fill>
    <fill>
      <patternFill patternType="solid">
        <fgColor rgb="FFDDE7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E5B8"/>
      <rgbColor rgb="FFDDE7F2"/>
      <rgbColor rgb="FF660066"/>
      <rgbColor rgb="FFFF8080"/>
      <rgbColor rgb="FF0066CC"/>
      <rgbColor rgb="FFC8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7" min="4" style="0" width="13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1</v>
      </c>
      <c r="D5" s="6" t="n">
        <v>90</v>
      </c>
      <c r="E5" s="6" t="n">
        <v>180</v>
      </c>
      <c r="F5" s="7" t="n">
        <f aca="false">C5*D5</f>
        <v>90</v>
      </c>
      <c r="G5" s="7" t="n">
        <f aca="false">C5*E5</f>
        <v>180</v>
      </c>
      <c r="H5" s="8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5" t="n">
        <v>1</v>
      </c>
      <c r="D6" s="6" t="n">
        <v>25</v>
      </c>
      <c r="E6" s="6" t="n">
        <v>60</v>
      </c>
      <c r="F6" s="7" t="n">
        <f aca="false">C6*D6</f>
        <v>25</v>
      </c>
      <c r="G6" s="7" t="n">
        <f aca="false">C6*E6</f>
        <v>60</v>
      </c>
      <c r="H6" s="8" t="s">
        <v>15</v>
      </c>
    </row>
    <row r="7" customFormat="false" ht="15" hidden="false" customHeight="false" outlineLevel="0" collapsed="false">
      <c r="A7" s="4" t="s">
        <v>16</v>
      </c>
      <c r="B7" s="4" t="s">
        <v>17</v>
      </c>
      <c r="C7" s="5" t="n">
        <v>1</v>
      </c>
      <c r="D7" s="6" t="n">
        <v>15</v>
      </c>
      <c r="E7" s="6" t="n">
        <v>40</v>
      </c>
      <c r="F7" s="7" t="n">
        <f aca="false">C7*D7</f>
        <v>15</v>
      </c>
      <c r="G7" s="7" t="n">
        <f aca="false">C7*E7</f>
        <v>40</v>
      </c>
      <c r="H7" s="8" t="s">
        <v>18</v>
      </c>
    </row>
    <row r="8" customFormat="false" ht="15" hidden="false" customHeight="false" outlineLevel="0" collapsed="false">
      <c r="A8" s="4" t="s">
        <v>19</v>
      </c>
      <c r="B8" s="4" t="s">
        <v>20</v>
      </c>
      <c r="C8" s="5" t="n">
        <v>1</v>
      </c>
      <c r="D8" s="6" t="n">
        <v>8</v>
      </c>
      <c r="E8" s="6" t="n">
        <v>20</v>
      </c>
      <c r="F8" s="7" t="n">
        <f aca="false">C8*D8</f>
        <v>8</v>
      </c>
      <c r="G8" s="7" t="n">
        <f aca="false">C8*E8</f>
        <v>20</v>
      </c>
      <c r="H8" s="8"/>
    </row>
    <row r="9" customFormat="false" ht="15" hidden="false" customHeight="false" outlineLevel="0" collapsed="false">
      <c r="A9" s="4" t="s">
        <v>21</v>
      </c>
      <c r="B9" s="4" t="s">
        <v>22</v>
      </c>
      <c r="C9" s="5" t="n">
        <v>1</v>
      </c>
      <c r="D9" s="6" t="n">
        <v>80</v>
      </c>
      <c r="E9" s="6" t="n">
        <v>140</v>
      </c>
      <c r="F9" s="7" t="n">
        <f aca="false">C9*D9</f>
        <v>80</v>
      </c>
      <c r="G9" s="7" t="n">
        <f aca="false">C9*E9</f>
        <v>140</v>
      </c>
      <c r="H9" s="8" t="s">
        <v>23</v>
      </c>
    </row>
    <row r="10" customFormat="false" ht="15" hidden="false" customHeight="false" outlineLevel="0" collapsed="false">
      <c r="A10" s="4" t="s">
        <v>24</v>
      </c>
      <c r="B10" s="4" t="s">
        <v>25</v>
      </c>
      <c r="C10" s="5" t="n">
        <v>1</v>
      </c>
      <c r="D10" s="6" t="n">
        <v>18</v>
      </c>
      <c r="E10" s="6" t="n">
        <v>40</v>
      </c>
      <c r="F10" s="7" t="n">
        <f aca="false">C10*D10</f>
        <v>18</v>
      </c>
      <c r="G10" s="7" t="n">
        <f aca="false">C10*E10</f>
        <v>40</v>
      </c>
      <c r="H10" s="8"/>
    </row>
    <row r="11" customFormat="false" ht="15" hidden="false" customHeight="false" outlineLevel="0" collapsed="false">
      <c r="A11" s="4" t="s">
        <v>26</v>
      </c>
      <c r="B11" s="4" t="s">
        <v>27</v>
      </c>
      <c r="C11" s="5" t="n">
        <v>1</v>
      </c>
      <c r="D11" s="6" t="n">
        <v>4</v>
      </c>
      <c r="E11" s="6" t="n">
        <v>10</v>
      </c>
      <c r="F11" s="7" t="n">
        <f aca="false">C11*D11</f>
        <v>4</v>
      </c>
      <c r="G11" s="7" t="n">
        <f aca="false">C11*E11</f>
        <v>10</v>
      </c>
      <c r="H11" s="8" t="s">
        <v>28</v>
      </c>
    </row>
    <row r="12" customFormat="false" ht="15" hidden="false" customHeight="false" outlineLevel="0" collapsed="false">
      <c r="A12" s="4" t="s">
        <v>29</v>
      </c>
      <c r="B12" s="4" t="s">
        <v>30</v>
      </c>
      <c r="C12" s="5" t="n">
        <v>1</v>
      </c>
      <c r="D12" s="6" t="n">
        <v>25</v>
      </c>
      <c r="E12" s="6" t="n">
        <v>50</v>
      </c>
      <c r="F12" s="7" t="n">
        <f aca="false">C12*D12</f>
        <v>25</v>
      </c>
      <c r="G12" s="7" t="n">
        <f aca="false">C12*E12</f>
        <v>50</v>
      </c>
      <c r="H12" s="8"/>
    </row>
    <row r="13" customFormat="false" ht="15" hidden="false" customHeight="false" outlineLevel="0" collapsed="false">
      <c r="A13" s="4" t="s">
        <v>31</v>
      </c>
      <c r="B13" s="4" t="s">
        <v>32</v>
      </c>
      <c r="C13" s="5" t="n">
        <v>1</v>
      </c>
      <c r="D13" s="6" t="n">
        <v>18</v>
      </c>
      <c r="E13" s="6" t="n">
        <v>45</v>
      </c>
      <c r="F13" s="7" t="n">
        <f aca="false">C13*D13</f>
        <v>18</v>
      </c>
      <c r="G13" s="7" t="n">
        <f aca="false">C13*E13</f>
        <v>45</v>
      </c>
      <c r="H13" s="8"/>
    </row>
    <row r="14" customFormat="false" ht="15" hidden="false" customHeight="false" outlineLevel="0" collapsed="false">
      <c r="A14" s="4" t="s">
        <v>33</v>
      </c>
      <c r="B14" s="4" t="s">
        <v>34</v>
      </c>
      <c r="C14" s="5" t="n">
        <v>1</v>
      </c>
      <c r="D14" s="6" t="n">
        <v>10</v>
      </c>
      <c r="E14" s="6" t="n">
        <v>25</v>
      </c>
      <c r="F14" s="7" t="n">
        <f aca="false">C14*D14</f>
        <v>10</v>
      </c>
      <c r="G14" s="7" t="n">
        <f aca="false">C14*E14</f>
        <v>25</v>
      </c>
      <c r="H14" s="8"/>
    </row>
    <row r="15" customFormat="false" ht="15" hidden="false" customHeight="false" outlineLevel="0" collapsed="false">
      <c r="A15" s="9" t="s">
        <v>35</v>
      </c>
      <c r="B15" s="10"/>
      <c r="C15" s="10"/>
      <c r="D15" s="10"/>
      <c r="E15" s="10"/>
      <c r="F15" s="11" t="n">
        <f aca="false">SUM(F5:F14)</f>
        <v>293</v>
      </c>
      <c r="G15" s="11" t="n">
        <f aca="false">SUM(G5:G14)</f>
        <v>610</v>
      </c>
      <c r="H15" s="1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7" min="4" style="0" width="13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2" t="s">
        <v>36</v>
      </c>
      <c r="B1" s="12"/>
      <c r="C1" s="12"/>
      <c r="D1" s="12"/>
      <c r="E1" s="12"/>
      <c r="F1" s="12"/>
      <c r="G1" s="12"/>
      <c r="H1" s="12"/>
    </row>
    <row r="2" customFormat="false" ht="31.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38</v>
      </c>
      <c r="B5" s="4" t="s">
        <v>39</v>
      </c>
      <c r="C5" s="5" t="n">
        <v>1</v>
      </c>
      <c r="D5" s="6" t="n">
        <v>110</v>
      </c>
      <c r="E5" s="6" t="n">
        <v>220</v>
      </c>
      <c r="F5" s="7" t="n">
        <f aca="false">C5*D5</f>
        <v>110</v>
      </c>
      <c r="G5" s="7" t="n">
        <f aca="false">C5*E5</f>
        <v>220</v>
      </c>
      <c r="H5" s="8" t="s">
        <v>40</v>
      </c>
    </row>
    <row r="6" customFormat="false" ht="15" hidden="false" customHeight="false" outlineLevel="0" collapsed="false">
      <c r="A6" s="4" t="s">
        <v>41</v>
      </c>
      <c r="B6" s="4" t="s">
        <v>42</v>
      </c>
      <c r="C6" s="5" t="n">
        <v>1</v>
      </c>
      <c r="D6" s="6" t="n">
        <v>180</v>
      </c>
      <c r="E6" s="6" t="n">
        <v>280</v>
      </c>
      <c r="F6" s="7" t="n">
        <f aca="false">C6*D6</f>
        <v>180</v>
      </c>
      <c r="G6" s="7" t="n">
        <f aca="false">C6*E6</f>
        <v>280</v>
      </c>
      <c r="H6" s="8" t="s">
        <v>43</v>
      </c>
    </row>
    <row r="7" customFormat="false" ht="15" hidden="false" customHeight="false" outlineLevel="0" collapsed="false">
      <c r="A7" s="4" t="s">
        <v>44</v>
      </c>
      <c r="B7" s="4" t="s">
        <v>45</v>
      </c>
      <c r="C7" s="5" t="n">
        <v>2</v>
      </c>
      <c r="D7" s="6" t="n">
        <v>35</v>
      </c>
      <c r="E7" s="6" t="n">
        <v>70</v>
      </c>
      <c r="F7" s="7" t="n">
        <f aca="false">C7*D7</f>
        <v>70</v>
      </c>
      <c r="G7" s="7" t="n">
        <f aca="false">C7*E7</f>
        <v>140</v>
      </c>
      <c r="H7" s="8" t="s">
        <v>46</v>
      </c>
    </row>
    <row r="8" customFormat="false" ht="15" hidden="false" customHeight="false" outlineLevel="0" collapsed="false">
      <c r="A8" s="4" t="s">
        <v>47</v>
      </c>
      <c r="B8" s="4" t="s">
        <v>48</v>
      </c>
      <c r="C8" s="5" t="n">
        <v>1</v>
      </c>
      <c r="D8" s="6" t="n">
        <v>18</v>
      </c>
      <c r="E8" s="6" t="n">
        <v>40</v>
      </c>
      <c r="F8" s="7" t="n">
        <f aca="false">C8*D8</f>
        <v>18</v>
      </c>
      <c r="G8" s="7" t="n">
        <f aca="false">C8*E8</f>
        <v>40</v>
      </c>
      <c r="H8" s="8" t="s">
        <v>49</v>
      </c>
    </row>
    <row r="9" customFormat="false" ht="15" hidden="false" customHeight="false" outlineLevel="0" collapsed="false">
      <c r="A9" s="4" t="s">
        <v>50</v>
      </c>
      <c r="B9" s="4" t="s">
        <v>51</v>
      </c>
      <c r="C9" s="5" t="n">
        <v>1</v>
      </c>
      <c r="D9" s="6" t="n">
        <v>35</v>
      </c>
      <c r="E9" s="6" t="n">
        <v>75</v>
      </c>
      <c r="F9" s="7" t="n">
        <f aca="false">C9*D9</f>
        <v>35</v>
      </c>
      <c r="G9" s="7" t="n">
        <f aca="false">C9*E9</f>
        <v>75</v>
      </c>
      <c r="H9" s="8" t="s">
        <v>52</v>
      </c>
    </row>
    <row r="10" customFormat="false" ht="15" hidden="false" customHeight="false" outlineLevel="0" collapsed="false">
      <c r="A10" s="4" t="s">
        <v>21</v>
      </c>
      <c r="B10" s="4" t="s">
        <v>53</v>
      </c>
      <c r="C10" s="5" t="n">
        <v>1</v>
      </c>
      <c r="D10" s="6" t="n">
        <v>80</v>
      </c>
      <c r="E10" s="6" t="n">
        <v>140</v>
      </c>
      <c r="F10" s="7" t="n">
        <f aca="false">C10*D10</f>
        <v>80</v>
      </c>
      <c r="G10" s="7" t="n">
        <f aca="false">C10*E10</f>
        <v>140</v>
      </c>
      <c r="H10" s="8"/>
    </row>
    <row r="11" customFormat="false" ht="15" hidden="false" customHeight="false" outlineLevel="0" collapsed="false">
      <c r="A11" s="4" t="s">
        <v>24</v>
      </c>
      <c r="B11" s="4" t="s">
        <v>25</v>
      </c>
      <c r="C11" s="5" t="n">
        <v>1</v>
      </c>
      <c r="D11" s="6" t="n">
        <v>18</v>
      </c>
      <c r="E11" s="6" t="n">
        <v>40</v>
      </c>
      <c r="F11" s="7" t="n">
        <f aca="false">C11*D11</f>
        <v>18</v>
      </c>
      <c r="G11" s="7" t="n">
        <f aca="false">C11*E11</f>
        <v>40</v>
      </c>
      <c r="H11" s="8"/>
    </row>
    <row r="12" customFormat="false" ht="15" hidden="false" customHeight="false" outlineLevel="0" collapsed="false">
      <c r="A12" s="4" t="s">
        <v>54</v>
      </c>
      <c r="B12" s="4" t="s">
        <v>55</v>
      </c>
      <c r="C12" s="5" t="n">
        <v>1</v>
      </c>
      <c r="D12" s="6" t="n">
        <v>8</v>
      </c>
      <c r="E12" s="6" t="n">
        <v>20</v>
      </c>
      <c r="F12" s="7" t="n">
        <f aca="false">C12*D12</f>
        <v>8</v>
      </c>
      <c r="G12" s="7" t="n">
        <f aca="false">C12*E12</f>
        <v>20</v>
      </c>
      <c r="H12" s="8"/>
    </row>
    <row r="13" customFormat="false" ht="15" hidden="false" customHeight="false" outlineLevel="0" collapsed="false">
      <c r="A13" s="4" t="s">
        <v>16</v>
      </c>
      <c r="B13" s="4" t="s">
        <v>17</v>
      </c>
      <c r="C13" s="5" t="n">
        <v>1</v>
      </c>
      <c r="D13" s="6" t="n">
        <v>15</v>
      </c>
      <c r="E13" s="6" t="n">
        <v>40</v>
      </c>
      <c r="F13" s="7" t="n">
        <f aca="false">C13*D13</f>
        <v>15</v>
      </c>
      <c r="G13" s="7" t="n">
        <f aca="false">C13*E13</f>
        <v>40</v>
      </c>
      <c r="H13" s="8"/>
    </row>
    <row r="14" customFormat="false" ht="15" hidden="false" customHeight="false" outlineLevel="0" collapsed="false">
      <c r="A14" s="4" t="s">
        <v>56</v>
      </c>
      <c r="B14" s="4" t="s">
        <v>27</v>
      </c>
      <c r="C14" s="5" t="n">
        <v>2</v>
      </c>
      <c r="D14" s="6" t="n">
        <v>4</v>
      </c>
      <c r="E14" s="6" t="n">
        <v>10</v>
      </c>
      <c r="F14" s="7" t="n">
        <f aca="false">C14*D14</f>
        <v>8</v>
      </c>
      <c r="G14" s="7" t="n">
        <f aca="false">C14*E14</f>
        <v>20</v>
      </c>
      <c r="H14" s="8" t="s">
        <v>28</v>
      </c>
    </row>
    <row r="15" customFormat="false" ht="15" hidden="false" customHeight="false" outlineLevel="0" collapsed="false">
      <c r="A15" s="4" t="s">
        <v>29</v>
      </c>
      <c r="B15" s="4" t="s">
        <v>57</v>
      </c>
      <c r="C15" s="5" t="n">
        <v>1</v>
      </c>
      <c r="D15" s="6" t="n">
        <v>35</v>
      </c>
      <c r="E15" s="6" t="n">
        <v>70</v>
      </c>
      <c r="F15" s="7" t="n">
        <f aca="false">C15*D15</f>
        <v>35</v>
      </c>
      <c r="G15" s="7" t="n">
        <f aca="false">C15*E15</f>
        <v>70</v>
      </c>
      <c r="H15" s="8" t="s">
        <v>58</v>
      </c>
    </row>
    <row r="16" customFormat="false" ht="15" hidden="false" customHeight="false" outlineLevel="0" collapsed="false">
      <c r="A16" s="4" t="s">
        <v>31</v>
      </c>
      <c r="B16" s="4" t="s">
        <v>32</v>
      </c>
      <c r="C16" s="5" t="n">
        <v>1</v>
      </c>
      <c r="D16" s="6" t="n">
        <v>22</v>
      </c>
      <c r="E16" s="6" t="n">
        <v>50</v>
      </c>
      <c r="F16" s="7" t="n">
        <f aca="false">C16*D16</f>
        <v>22</v>
      </c>
      <c r="G16" s="7" t="n">
        <f aca="false">C16*E16</f>
        <v>50</v>
      </c>
      <c r="H16" s="8"/>
    </row>
    <row r="17" customFormat="false" ht="15" hidden="false" customHeight="false" outlineLevel="0" collapsed="false">
      <c r="A17" s="4" t="s">
        <v>59</v>
      </c>
      <c r="B17" s="4" t="s">
        <v>34</v>
      </c>
      <c r="C17" s="5" t="n">
        <v>1</v>
      </c>
      <c r="D17" s="6" t="n">
        <v>15</v>
      </c>
      <c r="E17" s="6" t="n">
        <v>35</v>
      </c>
      <c r="F17" s="7" t="n">
        <f aca="false">C17*D17</f>
        <v>15</v>
      </c>
      <c r="G17" s="7" t="n">
        <f aca="false">C17*E17</f>
        <v>35</v>
      </c>
      <c r="H17" s="8"/>
    </row>
    <row r="18" customFormat="false" ht="15" hidden="false" customHeight="false" outlineLevel="0" collapsed="false">
      <c r="A18" s="9" t="s">
        <v>60</v>
      </c>
      <c r="B18" s="10"/>
      <c r="C18" s="10"/>
      <c r="D18" s="10"/>
      <c r="E18" s="10"/>
      <c r="F18" s="11" t="n">
        <f aca="false">SUM(F5:F17)</f>
        <v>614</v>
      </c>
      <c r="G18" s="11" t="n">
        <f aca="false">SUM(G5:G17)</f>
        <v>1170</v>
      </c>
      <c r="H18" s="1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2" t="s">
        <v>61</v>
      </c>
      <c r="B1" s="12"/>
      <c r="C1" s="12"/>
      <c r="D1" s="12"/>
      <c r="E1" s="12"/>
    </row>
    <row r="2" customFormat="false" ht="15" hidden="false" customHeight="false" outlineLevel="0" collapsed="false">
      <c r="A2" s="13" t="s">
        <v>62</v>
      </c>
      <c r="B2" s="13"/>
      <c r="C2" s="13"/>
      <c r="D2" s="13"/>
      <c r="E2" s="13"/>
    </row>
    <row r="4" customFormat="false" ht="15" hidden="false" customHeight="false" outlineLevel="0" collapsed="false">
      <c r="A4" s="14" t="s">
        <v>63</v>
      </c>
      <c r="B4" s="15"/>
      <c r="C4" s="15"/>
      <c r="D4" s="15"/>
      <c r="E4" s="15"/>
    </row>
    <row r="5" customFormat="false" ht="15" hidden="false" customHeight="false" outlineLevel="0" collapsed="false">
      <c r="A5" s="4"/>
      <c r="B5" s="3" t="s">
        <v>64</v>
      </c>
      <c r="C5" s="3" t="s">
        <v>65</v>
      </c>
      <c r="D5" s="3" t="s">
        <v>9</v>
      </c>
      <c r="E5" s="16"/>
    </row>
    <row r="6" customFormat="false" ht="15" hidden="false" customHeight="false" outlineLevel="0" collapsed="false">
      <c r="A6" s="4" t="s">
        <v>66</v>
      </c>
      <c r="B6" s="17" t="n">
        <f aca="false">'Mercury Kit BOM'!F15</f>
        <v>293</v>
      </c>
      <c r="C6" s="17" t="n">
        <f aca="false">'Teague Kit BOM'!F18</f>
        <v>614</v>
      </c>
      <c r="E6" s="8" t="s">
        <v>67</v>
      </c>
    </row>
    <row r="7" customFormat="false" ht="15" hidden="false" customHeight="false" outlineLevel="0" collapsed="false">
      <c r="A7" s="4" t="s">
        <v>68</v>
      </c>
      <c r="B7" s="17" t="n">
        <f aca="false">'Mercury Kit BOM'!G15</f>
        <v>610</v>
      </c>
      <c r="C7" s="17" t="n">
        <f aca="false">'Teague Kit BOM'!G18</f>
        <v>1170</v>
      </c>
    </row>
    <row r="8" customFormat="false" ht="15" hidden="false" customHeight="false" outlineLevel="0" collapsed="false">
      <c r="A8" s="18" t="s">
        <v>69</v>
      </c>
      <c r="B8" s="19" t="n">
        <f aca="false">AVERAGE(B6,B7)</f>
        <v>451.5</v>
      </c>
      <c r="C8" s="19" t="n">
        <f aca="false">AVERAGE(C6,C7)</f>
        <v>892</v>
      </c>
    </row>
    <row r="10" customFormat="false" ht="15" hidden="false" customHeight="false" outlineLevel="0" collapsed="false">
      <c r="A10" s="14" t="s">
        <v>70</v>
      </c>
      <c r="B10" s="15"/>
      <c r="C10" s="15"/>
      <c r="D10" s="15"/>
      <c r="E10" s="15"/>
    </row>
    <row r="11" customFormat="false" ht="15" hidden="false" customHeight="false" outlineLevel="0" collapsed="false">
      <c r="A11" s="4" t="s">
        <v>71</v>
      </c>
      <c r="B11" s="5" t="n">
        <v>5</v>
      </c>
      <c r="E11" s="8" t="s">
        <v>72</v>
      </c>
    </row>
    <row r="12" customFormat="false" ht="15" hidden="false" customHeight="false" outlineLevel="0" collapsed="false">
      <c r="A12" s="4" t="s">
        <v>73</v>
      </c>
      <c r="C12" s="5" t="n">
        <v>9</v>
      </c>
      <c r="E12" s="8" t="s">
        <v>74</v>
      </c>
    </row>
    <row r="13" customFormat="false" ht="15" hidden="false" customHeight="false" outlineLevel="0" collapsed="false">
      <c r="A13" s="4" t="s">
        <v>75</v>
      </c>
      <c r="B13" s="6" t="n">
        <v>145</v>
      </c>
      <c r="E13" s="8" t="s">
        <v>76</v>
      </c>
    </row>
    <row r="14" customFormat="false" ht="15" hidden="false" customHeight="false" outlineLevel="0" collapsed="false">
      <c r="A14" s="18" t="s">
        <v>77</v>
      </c>
      <c r="B14" s="19" t="n">
        <f aca="false">B11*B13</f>
        <v>725</v>
      </c>
      <c r="C14" s="19" t="n">
        <f aca="false">C12*B13</f>
        <v>1305</v>
      </c>
    </row>
    <row r="16" customFormat="false" ht="15" hidden="false" customHeight="false" outlineLevel="0" collapsed="false">
      <c r="A16" s="14" t="s">
        <v>78</v>
      </c>
      <c r="B16" s="15"/>
      <c r="C16" s="15"/>
      <c r="D16" s="15"/>
      <c r="E16" s="15"/>
    </row>
    <row r="17" customFormat="false" ht="15" hidden="false" customHeight="false" outlineLevel="0" collapsed="false">
      <c r="A17" s="18" t="s">
        <v>79</v>
      </c>
      <c r="B17" s="11" t="n">
        <f aca="false">B8+B14</f>
        <v>1176.5</v>
      </c>
      <c r="C17" s="11" t="n">
        <f aca="false">C8+C14</f>
        <v>2197</v>
      </c>
    </row>
    <row r="19" customFormat="false" ht="15" hidden="false" customHeight="false" outlineLevel="0" collapsed="false">
      <c r="A19" s="14" t="s">
        <v>80</v>
      </c>
      <c r="B19" s="15"/>
      <c r="C19" s="15"/>
      <c r="D19" s="15"/>
      <c r="E19" s="15"/>
    </row>
    <row r="20" customFormat="false" ht="15" hidden="false" customHeight="false" outlineLevel="0" collapsed="false">
      <c r="A20" s="4" t="s">
        <v>81</v>
      </c>
      <c r="B20" s="6" t="n">
        <v>2750</v>
      </c>
      <c r="E20" s="8" t="s">
        <v>82</v>
      </c>
    </row>
    <row r="21" customFormat="false" ht="15" hidden="false" customHeight="false" outlineLevel="0" collapsed="false">
      <c r="A21" s="4" t="s">
        <v>83</v>
      </c>
      <c r="C21" s="6" t="n">
        <v>3950</v>
      </c>
    </row>
    <row r="22" customFormat="false" ht="15" hidden="false" customHeight="false" outlineLevel="0" collapsed="false">
      <c r="A22" s="18" t="s">
        <v>84</v>
      </c>
      <c r="B22" s="19" t="n">
        <f aca="false">B20-B17</f>
        <v>1573.5</v>
      </c>
      <c r="C22" s="19" t="n">
        <f aca="false">C21-C17</f>
        <v>1753</v>
      </c>
    </row>
    <row r="23" customFormat="false" ht="15" hidden="false" customHeight="false" outlineLevel="0" collapsed="false">
      <c r="A23" s="4" t="s">
        <v>85</v>
      </c>
      <c r="B23" s="20" t="n">
        <f aca="false">IFERROR(B22/B20,0)</f>
        <v>0.572181818181818</v>
      </c>
      <c r="C23" s="20" t="n">
        <f aca="false">IFERROR(C22/C21,0)</f>
        <v>0.44379746835443</v>
      </c>
    </row>
    <row r="25" customFormat="false" ht="15" hidden="false" customHeight="false" outlineLevel="0" collapsed="false">
      <c r="A25" s="14" t="s">
        <v>86</v>
      </c>
      <c r="B25" s="15"/>
      <c r="C25" s="15"/>
      <c r="D25" s="15"/>
      <c r="E25" s="15"/>
    </row>
    <row r="26" customFormat="false" ht="15" hidden="false" customHeight="false" outlineLevel="0" collapsed="false">
      <c r="A26" s="4" t="s">
        <v>87</v>
      </c>
      <c r="B26" s="6" t="n">
        <v>360</v>
      </c>
      <c r="E26" s="8" t="s">
        <v>88</v>
      </c>
    </row>
    <row r="27" customFormat="false" ht="15" hidden="false" customHeight="false" outlineLevel="0" collapsed="false">
      <c r="A27" s="4" t="s">
        <v>89</v>
      </c>
      <c r="B27" s="21" t="n">
        <v>2.5</v>
      </c>
      <c r="E27" s="8" t="s">
        <v>90</v>
      </c>
    </row>
    <row r="28" customFormat="false" ht="15" hidden="false" customHeight="false" outlineLevel="0" collapsed="false">
      <c r="A28" s="4" t="s">
        <v>91</v>
      </c>
      <c r="B28" s="21" t="n">
        <v>1.5</v>
      </c>
      <c r="E28" s="8" t="s">
        <v>92</v>
      </c>
    </row>
    <row r="29" customFormat="false" ht="15" hidden="false" customHeight="false" outlineLevel="0" collapsed="false">
      <c r="A29" s="18" t="s">
        <v>93</v>
      </c>
      <c r="B29" s="19" t="n">
        <f aca="false">(B27+B28)*12</f>
        <v>48</v>
      </c>
    </row>
    <row r="30" customFormat="false" ht="15" hidden="false" customHeight="false" outlineLevel="0" collapsed="false">
      <c r="A30" s="18" t="s">
        <v>94</v>
      </c>
      <c r="B30" s="11" t="n">
        <f aca="false">B26-B29</f>
        <v>312</v>
      </c>
      <c r="C30" s="22" t="n">
        <f aca="false">IFERROR((B26-B29)/B26,0)</f>
        <v>0.866666666666667</v>
      </c>
    </row>
    <row r="32" customFormat="false" ht="15" hidden="false" customHeight="false" outlineLevel="0" collapsed="false">
      <c r="A32" s="14" t="s">
        <v>95</v>
      </c>
      <c r="B32" s="15"/>
      <c r="C32" s="15"/>
      <c r="D32" s="15"/>
      <c r="E32" s="15"/>
    </row>
    <row r="33" customFormat="false" ht="15" hidden="false" customHeight="false" outlineLevel="0" collapsed="false">
      <c r="A33" s="4" t="s">
        <v>96</v>
      </c>
      <c r="B33" s="5" t="n">
        <v>13</v>
      </c>
      <c r="E33" s="8" t="s">
        <v>97</v>
      </c>
    </row>
    <row r="34" customFormat="false" ht="15" hidden="false" customHeight="false" outlineLevel="0" collapsed="false">
      <c r="A34" s="4" t="s">
        <v>98</v>
      </c>
      <c r="B34" s="23" t="n">
        <v>0.75</v>
      </c>
      <c r="E34" s="8" t="s">
        <v>99</v>
      </c>
    </row>
    <row r="35" customFormat="false" ht="15" hidden="false" customHeight="false" outlineLevel="0" collapsed="false">
      <c r="A35" s="4" t="s">
        <v>100</v>
      </c>
      <c r="B35" s="5" t="n">
        <v>0</v>
      </c>
    </row>
    <row r="36" customFormat="false" ht="15" hidden="false" customHeight="false" outlineLevel="0" collapsed="false">
      <c r="A36" s="4" t="s">
        <v>101</v>
      </c>
      <c r="B36" s="5" t="n">
        <v>12</v>
      </c>
      <c r="E36" s="8" t="s">
        <v>102</v>
      </c>
    </row>
    <row r="37" customFormat="false" ht="15" hidden="false" customHeight="false" outlineLevel="0" collapsed="false">
      <c r="A37" s="4" t="s">
        <v>103</v>
      </c>
      <c r="B37" s="7" t="n">
        <f aca="false">AVERAGE(B20,C21)</f>
        <v>3350</v>
      </c>
      <c r="E37" s="8" t="s">
        <v>104</v>
      </c>
    </row>
    <row r="38" customFormat="false" ht="15" hidden="false" customHeight="false" outlineLevel="0" collapsed="false">
      <c r="A38" s="4" t="s">
        <v>105</v>
      </c>
      <c r="B38" s="7" t="n">
        <f aca="false">AVERAGE(B22,C22)</f>
        <v>1663.25</v>
      </c>
    </row>
    <row r="39" customFormat="false" ht="15" hidden="false" customHeight="false" outlineLevel="0" collapsed="false">
      <c r="A39" s="4" t="s">
        <v>106</v>
      </c>
      <c r="B39" s="6" t="n">
        <v>1500</v>
      </c>
      <c r="E39" s="8" t="s">
        <v>107</v>
      </c>
    </row>
    <row r="40" customFormat="false" ht="15" hidden="false" customHeight="false" outlineLevel="0" collapsed="false">
      <c r="A40" s="4" t="s">
        <v>108</v>
      </c>
      <c r="B40" s="23" t="n">
        <v>0.4</v>
      </c>
      <c r="E40" s="8" t="s">
        <v>109</v>
      </c>
    </row>
    <row r="42" customFormat="false" ht="15" hidden="false" customHeight="false" outlineLevel="0" collapsed="false">
      <c r="A42" s="14" t="s">
        <v>110</v>
      </c>
      <c r="B42" s="15"/>
      <c r="C42" s="15"/>
      <c r="D42" s="15"/>
      <c r="E42" s="15"/>
    </row>
    <row r="43" customFormat="false" ht="15" hidden="false" customHeight="false" outlineLevel="0" collapsed="false">
      <c r="A43" s="3" t="s">
        <v>111</v>
      </c>
      <c r="B43" s="3" t="s">
        <v>112</v>
      </c>
      <c r="C43" s="3" t="s">
        <v>113</v>
      </c>
      <c r="D43" s="3" t="s">
        <v>114</v>
      </c>
      <c r="E43" s="16"/>
    </row>
    <row r="44" customFormat="false" ht="15" hidden="false" customHeight="false" outlineLevel="0" collapsed="false">
      <c r="A44" s="4" t="s">
        <v>115</v>
      </c>
      <c r="B44" s="24" t="n">
        <f aca="false">B33*B34*1+B36*1</f>
        <v>21.75</v>
      </c>
      <c r="C44" s="24" t="n">
        <f aca="false">B33*B34*3+B36*3</f>
        <v>65.25</v>
      </c>
      <c r="D44" s="24" t="n">
        <f aca="false">B33*B34*5+B36*5</f>
        <v>108.75</v>
      </c>
    </row>
    <row r="45" customFormat="false" ht="15" hidden="false" customHeight="false" outlineLevel="0" collapsed="false">
      <c r="A45" s="4" t="s">
        <v>116</v>
      </c>
      <c r="B45" s="24" t="n">
        <f aca="false">B35+B44</f>
        <v>21.75</v>
      </c>
      <c r="C45" s="24" t="n">
        <f aca="false">B35+C44</f>
        <v>65.25</v>
      </c>
      <c r="D45" s="24" t="n">
        <f aca="false">B35+D44</f>
        <v>108.75</v>
      </c>
    </row>
    <row r="46" customFormat="false" ht="15" hidden="false" customHeight="false" outlineLevel="0" collapsed="false">
      <c r="A46" s="4" t="s">
        <v>117</v>
      </c>
      <c r="B46" s="7" t="n">
        <f aca="false">(B33*B34+B36)*B37</f>
        <v>72862.5</v>
      </c>
      <c r="C46" s="7" t="n">
        <f aca="false">(B33*B34+B36)*B37</f>
        <v>72862.5</v>
      </c>
      <c r="D46" s="7" t="n">
        <f aca="false">(B33*B34+B36)*B37</f>
        <v>72862.5</v>
      </c>
    </row>
    <row r="47" customFormat="false" ht="15" hidden="false" customHeight="false" outlineLevel="0" collapsed="false">
      <c r="A47" s="4" t="s">
        <v>118</v>
      </c>
      <c r="B47" s="7" t="n">
        <f aca="false">(B33*B34+B36)*B38</f>
        <v>36175.6875</v>
      </c>
      <c r="C47" s="7" t="n">
        <f aca="false">(B33*B34+B36)*B38</f>
        <v>36175.6875</v>
      </c>
      <c r="D47" s="7" t="n">
        <f aca="false">(B33*B34+B36)*B38</f>
        <v>36175.6875</v>
      </c>
    </row>
    <row r="48" customFormat="false" ht="15" hidden="false" customHeight="false" outlineLevel="0" collapsed="false">
      <c r="A48" s="4" t="s">
        <v>119</v>
      </c>
      <c r="B48" s="7" t="n">
        <f aca="false">B45*B26</f>
        <v>7830</v>
      </c>
      <c r="C48" s="7" t="n">
        <f aca="false">C45*B26</f>
        <v>23490</v>
      </c>
      <c r="D48" s="7" t="n">
        <f aca="false">D45*B26</f>
        <v>39150</v>
      </c>
    </row>
    <row r="49" customFormat="false" ht="15" hidden="false" customHeight="false" outlineLevel="0" collapsed="false">
      <c r="A49" s="4" t="s">
        <v>120</v>
      </c>
      <c r="B49" s="7" t="n">
        <f aca="false">B45*B30</f>
        <v>6786</v>
      </c>
      <c r="C49" s="7" t="n">
        <f aca="false">C45*B30</f>
        <v>20358</v>
      </c>
      <c r="D49" s="7" t="n">
        <f aca="false">D45*B30</f>
        <v>33930</v>
      </c>
    </row>
    <row r="50" customFormat="false" ht="15" hidden="false" customHeight="false" outlineLevel="0" collapsed="false">
      <c r="A50" s="4" t="s">
        <v>121</v>
      </c>
      <c r="B50" s="7" t="n">
        <f aca="false">B45*B39*B40</f>
        <v>13050</v>
      </c>
      <c r="C50" s="7" t="n">
        <f aca="false">C45*B39*B40</f>
        <v>39150</v>
      </c>
      <c r="D50" s="7" t="n">
        <f aca="false">D45*B39*B40</f>
        <v>65250</v>
      </c>
    </row>
    <row r="51" customFormat="false" ht="15" hidden="false" customHeight="false" outlineLevel="0" collapsed="false">
      <c r="A51" s="9" t="s">
        <v>122</v>
      </c>
      <c r="B51" s="11" t="n">
        <f aca="false">SUM(B48:B50)</f>
        <v>27666</v>
      </c>
      <c r="C51" s="11" t="n">
        <f aca="false">SUM(C48:C50)</f>
        <v>82998</v>
      </c>
      <c r="D51" s="11" t="n">
        <f aca="false">SUM(D48:D50)</f>
        <v>138330</v>
      </c>
    </row>
    <row r="53" customFormat="false" ht="15" hidden="false" customHeight="false" outlineLevel="0" collapsed="false">
      <c r="A53" s="13" t="s">
        <v>123</v>
      </c>
      <c r="B53" s="13"/>
      <c r="C53" s="13"/>
      <c r="D53" s="13"/>
      <c r="E53" s="13"/>
    </row>
  </sheetData>
  <mergeCells count="3">
    <mergeCell ref="A1:E1"/>
    <mergeCell ref="A2:E2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2026-04-30T19:27:21Z</dcterms:created>
  <dc:creator>openpyxl</dc:creator>
  <dc:description/>
  <dc:language>en-US</dc:language>
  <cp:lastModifiedBy/>
  <dcterms:modified xsi:type="dcterms:W3CDTF">2026-04-30T19:27:21Z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